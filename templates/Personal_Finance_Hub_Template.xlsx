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shboard" sheetId="1" state="visible" r:id="rId1"/>
    <sheet name="Transactions_Raw" sheetId="2" state="visible" r:id="rId2"/>
    <sheet name="Categories" sheetId="3" state="visible" r:id="rId3"/>
    <sheet name="Ledger_Clean" sheetId="4" state="visible" r:id="rId4"/>
    <sheet name="Monthly_Summary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&quot;Rp &quot;#,##0;[Red](&quot;Rp &quot;#,##0);&quot;-&quot;"/>
    <numFmt numFmtId="165" formatCode="0.0%"/>
    <numFmt numFmtId="166" formatCode="yyyy-mm-dd"/>
    <numFmt numFmtId="167" formatCode="hh:mm:ss"/>
  </numFmts>
  <fonts count="12">
    <font>
      <name val="Calibri"/>
      <family val="2"/>
      <color theme="1"/>
      <sz val="11"/>
      <scheme val="minor"/>
    </font>
    <font>
      <name val="Segoe UI"/>
      <b val="1"/>
      <color rgb="00FFFFFF"/>
      <sz val="15"/>
    </font>
    <font>
      <name val="Segoe UI"/>
      <b val="1"/>
      <color rgb="000F172A"/>
      <sz val="10"/>
    </font>
    <font>
      <name val="Segoe UI"/>
      <b val="1"/>
      <color rgb="00FFFFFF"/>
      <sz val="11"/>
    </font>
    <font>
      <name val="Segoe UI"/>
      <b val="1"/>
      <color rgb="00FFFFFF"/>
      <sz val="9"/>
    </font>
    <font>
      <name val="Segoe UI"/>
      <b val="1"/>
      <color rgb="00047857"/>
      <sz val="16"/>
    </font>
    <font>
      <name val="Segoe UI"/>
      <b val="1"/>
      <color rgb="00B91C1C"/>
      <sz val="16"/>
    </font>
    <font>
      <name val="Segoe UI"/>
      <b val="1"/>
      <color rgb="004338CA"/>
      <sz val="16"/>
    </font>
    <font>
      <name val="Segoe UI"/>
      <b val="1"/>
      <color rgb="001D4ED8"/>
      <sz val="16"/>
    </font>
    <font>
      <name val="Segoe UI"/>
      <b val="1"/>
      <color rgb="00FFFFFF"/>
      <sz val="10"/>
    </font>
    <font>
      <name val="Segoe UI"/>
      <color rgb="001E293B"/>
      <sz val="10"/>
    </font>
    <font>
      <name val="Consolas"/>
      <color rgb="00475569"/>
      <sz val="9"/>
    </font>
  </fonts>
  <fills count="18">
    <fill>
      <patternFill/>
    </fill>
    <fill>
      <patternFill patternType="gray125"/>
    </fill>
    <fill>
      <patternFill patternType="solid">
        <fgColor rgb="000F172A"/>
        <bgColor rgb="000F172A"/>
      </patternFill>
    </fill>
    <fill>
      <patternFill patternType="solid">
        <fgColor rgb="00F1F5F9"/>
        <bgColor rgb="00F1F5F9"/>
      </patternFill>
    </fill>
    <fill>
      <patternFill patternType="solid">
        <fgColor rgb="001E293B"/>
        <bgColor rgb="001E293B"/>
      </patternFill>
    </fill>
    <fill>
      <patternFill patternType="solid">
        <fgColor rgb="00065F46"/>
        <bgColor rgb="00065F46"/>
      </patternFill>
    </fill>
    <fill>
      <patternFill patternType="solid">
        <fgColor rgb="00ECFDF5"/>
        <bgColor rgb="00ECFDF5"/>
      </patternFill>
    </fill>
    <fill>
      <patternFill patternType="solid">
        <fgColor rgb="009F1239"/>
        <bgColor rgb="009F1239"/>
      </patternFill>
    </fill>
    <fill>
      <patternFill patternType="solid">
        <fgColor rgb="00FFF1F2"/>
        <bgColor rgb="00FFF1F2"/>
      </patternFill>
    </fill>
    <fill>
      <patternFill patternType="solid">
        <fgColor rgb="003730A3"/>
        <bgColor rgb="003730A3"/>
      </patternFill>
    </fill>
    <fill>
      <patternFill patternType="solid">
        <fgColor rgb="00EEF2FF"/>
        <bgColor rgb="00EEF2FF"/>
      </patternFill>
    </fill>
    <fill>
      <patternFill patternType="solid">
        <fgColor rgb="001E40AF"/>
        <bgColor rgb="001E40AF"/>
      </patternFill>
    </fill>
    <fill>
      <patternFill patternType="solid">
        <fgColor rgb="00EFF6FF"/>
        <bgColor rgb="00EFF6FF"/>
      </patternFill>
    </fill>
    <fill>
      <patternFill patternType="solid">
        <fgColor rgb="00334155"/>
        <bgColor rgb="00334155"/>
      </patternFill>
    </fill>
    <fill>
      <patternFill patternType="solid">
        <fgColor rgb="00DBEAFE"/>
        <bgColor rgb="00DBEAFE"/>
      </patternFill>
    </fill>
    <fill>
      <patternFill patternType="solid">
        <fgColor rgb="00FEF3C7"/>
        <bgColor rgb="00FEF3C7"/>
      </patternFill>
    </fill>
    <fill>
      <patternFill patternType="solid">
        <fgColor rgb="00E0E7FF"/>
        <bgColor rgb="00E0E7FF"/>
      </patternFill>
    </fill>
    <fill>
      <patternFill patternType="solid">
        <fgColor rgb="00D1FAE5"/>
        <bgColor rgb="00D1FAE5"/>
      </patternFill>
    </fill>
  </fills>
  <borders count="3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  <border>
      <left style="thin">
        <color rgb="00CBD5E1"/>
      </left>
      <right style="thin">
        <color rgb="00CBD5E1"/>
      </right>
      <top style="thin">
        <color rgb="00CBD5E1"/>
      </top>
      <bottom style="double">
        <color rgb="000F172A"/>
      </bottom>
    </border>
  </borders>
  <cellStyleXfs count="1">
    <xf numFmtId="0" fontId="0" fillId="0" borderId="0"/>
  </cellStyleXfs>
  <cellXfs count="3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pivotButton="0" quotePrefix="0" xfId="0"/>
    <xf numFmtId="0" fontId="2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  <xf numFmtId="0" fontId="4" fillId="7" borderId="1" applyAlignment="1" pivotButton="0" quotePrefix="0" xfId="0">
      <alignment horizontal="center" vertical="center"/>
    </xf>
    <xf numFmtId="0" fontId="4" fillId="9" borderId="1" applyAlignment="1" pivotButton="0" quotePrefix="0" xfId="0">
      <alignment horizontal="center" vertical="center"/>
    </xf>
    <xf numFmtId="0" fontId="4" fillId="11" borderId="1" applyAlignment="1" pivotButton="0" quotePrefix="0" xfId="0">
      <alignment horizontal="center" vertical="center"/>
    </xf>
    <xf numFmtId="164" fontId="5" fillId="6" borderId="1" applyAlignment="1" pivotButton="0" quotePrefix="0" xfId="0">
      <alignment horizontal="center" vertical="center"/>
    </xf>
    <xf numFmtId="164" fontId="6" fillId="8" borderId="1" applyAlignment="1" pivotButton="0" quotePrefix="0" xfId="0">
      <alignment horizontal="center" vertical="center"/>
    </xf>
    <xf numFmtId="164" fontId="7" fillId="10" borderId="1" applyAlignment="1" pivotButton="0" quotePrefix="0" xfId="0">
      <alignment horizontal="center" vertical="center"/>
    </xf>
    <xf numFmtId="165" fontId="8" fillId="12" borderId="1" applyAlignment="1" pivotButton="0" quotePrefix="0" xfId="0">
      <alignment horizontal="center" vertical="center"/>
    </xf>
    <xf numFmtId="0" fontId="9" fillId="13" borderId="1" applyAlignment="1" pivotButton="0" quotePrefix="0" xfId="0">
      <alignment horizontal="center" vertical="center"/>
    </xf>
    <xf numFmtId="0" fontId="10" fillId="0" borderId="1" applyAlignment="1" pivotButton="0" quotePrefix="0" xfId="0">
      <alignment horizontal="left" vertical="center"/>
    </xf>
    <xf numFmtId="164" fontId="10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  <xf numFmtId="0" fontId="10" fillId="0" borderId="1" applyAlignment="1" pivotButton="0" quotePrefix="0" xfId="0">
      <alignment horizontal="center" vertical="center"/>
    </xf>
    <xf numFmtId="164" fontId="2" fillId="0" borderId="1" applyAlignment="1" pivotButton="0" quotePrefix="0" xfId="0">
      <alignment horizontal="right" vertical="center"/>
    </xf>
    <xf numFmtId="0" fontId="2" fillId="3" borderId="2" applyAlignment="1" pivotButton="0" quotePrefix="0" xfId="0">
      <alignment horizontal="left" vertical="center"/>
    </xf>
    <xf numFmtId="164" fontId="2" fillId="3" borderId="2" applyAlignment="1" pivotButton="0" quotePrefix="0" xfId="0">
      <alignment horizontal="right" vertical="center"/>
    </xf>
    <xf numFmtId="0" fontId="2" fillId="3" borderId="2" applyAlignment="1" pivotButton="0" quotePrefix="0" xfId="0">
      <alignment horizontal="center" vertical="center"/>
    </xf>
    <xf numFmtId="0" fontId="2" fillId="14" borderId="1" applyAlignment="1" pivotButton="0" quotePrefix="0" xfId="0">
      <alignment horizontal="center" vertical="center"/>
    </xf>
    <xf numFmtId="165" fontId="10" fillId="0" borderId="1" applyAlignment="1" pivotButton="0" quotePrefix="0" xfId="0">
      <alignment horizontal="right" vertical="center"/>
    </xf>
    <xf numFmtId="0" fontId="2" fillId="15" borderId="1" applyAlignment="1" pivotButton="0" quotePrefix="0" xfId="0">
      <alignment horizontal="center" vertical="center"/>
    </xf>
    <xf numFmtId="0" fontId="2" fillId="3" borderId="2" applyAlignment="1" pivotButton="0" quotePrefix="0" xfId="0">
      <alignment horizontal="right" vertical="center"/>
    </xf>
    <xf numFmtId="0" fontId="0" fillId="0" borderId="2" pivotButton="0" quotePrefix="0" xfId="0"/>
    <xf numFmtId="164" fontId="5" fillId="6" borderId="2" applyAlignment="1" pivotButton="0" quotePrefix="0" xfId="0">
      <alignment horizontal="right" vertical="center"/>
    </xf>
    <xf numFmtId="0" fontId="2" fillId="16" borderId="1" applyAlignment="1" pivotButton="0" quotePrefix="0" xfId="0">
      <alignment horizontal="center" vertical="center"/>
    </xf>
    <xf numFmtId="0" fontId="3" fillId="4" borderId="0" applyAlignment="1" pivotButton="0" quotePrefix="0" xfId="0">
      <alignment horizontal="center" vertical="center"/>
    </xf>
    <xf numFmtId="0" fontId="9" fillId="2" borderId="1" applyAlignment="1" pivotButton="0" quotePrefix="0" xfId="0">
      <alignment horizontal="center" vertical="center"/>
    </xf>
    <xf numFmtId="0" fontId="2" fillId="17" borderId="1" applyAlignment="1" pivotButton="0" quotePrefix="0" xfId="0">
      <alignment horizontal="center" vertical="center"/>
    </xf>
    <xf numFmtId="0" fontId="11" fillId="0" borderId="1" applyAlignment="1" pivotButton="0" quotePrefix="0" xfId="0">
      <alignment horizontal="left" vertical="center"/>
    </xf>
    <xf numFmtId="166" fontId="10" fillId="0" borderId="1" applyAlignment="1" pivotButton="0" quotePrefix="0" xfId="0">
      <alignment horizontal="center" vertical="center"/>
    </xf>
    <xf numFmtId="167" fontId="10" fillId="0" borderId="1" applyAlignment="1" pivotButton="0" quotePrefix="0" xfId="0">
      <alignment horizontal="center" vertical="center"/>
    </xf>
    <xf numFmtId="165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J27"/>
  <sheetViews>
    <sheetView showGridLines="1" workbookViewId="0">
      <selection activeCell="A1" sqref="A1"/>
    </sheetView>
  </sheetViews>
  <sheetFormatPr baseColWidth="8" defaultRowHeight="15"/>
  <cols>
    <col width="4" customWidth="1" min="1" max="1"/>
    <col width="30" customWidth="1" min="2" max="2"/>
    <col width="22" customWidth="1" min="3" max="3"/>
    <col width="22" customWidth="1" min="4" max="4"/>
    <col width="24" customWidth="1" min="5" max="5"/>
    <col width="2" customWidth="1" min="6" max="6"/>
    <col width="18" customWidth="1" min="7" max="7"/>
    <col width="20" customWidth="1" min="8" max="8"/>
    <col width="22" customWidth="1" min="9" max="9"/>
    <col width="24" customWidth="1" min="10" max="10"/>
  </cols>
  <sheetData>
    <row r="2" ht="36" customHeight="1">
      <c r="B2" s="1" t="inlineStr">
        <is>
          <t>PERSONAL FINANCE HUB — EXECUTIVE FINANCIAL DASHBOARD</t>
        </is>
      </c>
      <c r="C2" s="2" t="n"/>
      <c r="D2" s="2" t="n"/>
      <c r="E2" s="2" t="n"/>
      <c r="F2" s="2" t="n"/>
      <c r="G2" s="2" t="n"/>
      <c r="H2" s="2" t="n"/>
      <c r="I2" s="2" t="n"/>
      <c r="J2" s="2" t="n"/>
    </row>
    <row r="3" ht="24" customHeight="1">
      <c r="B3" s="3" t="inlineStr">
        <is>
          <t>Active Period: 2026-09</t>
        </is>
      </c>
      <c r="C3" s="2" t="n"/>
      <c r="D3" s="2" t="n"/>
      <c r="E3" s="3" t="inlineStr">
        <is>
          <t>Currency: Indonesian Rupiah (IDR)</t>
        </is>
      </c>
      <c r="F3" s="2" t="n"/>
      <c r="G3" s="2" t="n"/>
      <c r="H3" s="3" t="inlineStr">
        <is>
          <t>Standard: 50/30/20 Budgeting Rule</t>
        </is>
      </c>
      <c r="I3" s="2" t="n"/>
      <c r="J3" s="2" t="n"/>
    </row>
    <row r="5" ht="26" customHeight="1">
      <c r="B5" s="4" t="inlineStr">
        <is>
          <t>EXECUTIVE KPI METRICS (ACTIVE MONTH: SEPTEMBER 2026)</t>
        </is>
      </c>
      <c r="C5" s="2" t="n"/>
      <c r="D5" s="2" t="n"/>
      <c r="E5" s="2" t="n"/>
      <c r="F5" s="2" t="n"/>
      <c r="G5" s="2" t="n"/>
      <c r="H5" s="2" t="n"/>
      <c r="I5" s="2" t="n"/>
      <c r="J5" s="2" t="n"/>
    </row>
    <row r="6" ht="20" customHeight="1">
      <c r="B6" s="5" t="inlineStr">
        <is>
          <t>TOTAL INFLOW (INCOME)</t>
        </is>
      </c>
      <c r="C6" s="2" t="n"/>
      <c r="D6" s="6" t="inlineStr">
        <is>
          <t>LIVING OUTFLOW (NEEDS + WANTS)</t>
        </is>
      </c>
      <c r="E6" s="2" t="n"/>
      <c r="F6" s="7" t="inlineStr">
        <is>
          <t>SAVINGS &amp; INVESTMENTS</t>
        </is>
      </c>
      <c r="G6" s="2" t="n"/>
      <c r="H6" s="8" t="inlineStr">
        <is>
          <t>NET SAVINGS RATE (SAVINGS + SURPLUS)</t>
        </is>
      </c>
      <c r="I6" s="2" t="n"/>
      <c r="J6" s="2" t="n"/>
    </row>
    <row r="7" ht="22" customHeight="1">
      <c r="B7" s="9">
        <f>SUMIFS(Ledger_Clean!$I$3:$I$100,Ledger_Clean!$F$3:$F$100,"INCOME")</f>
        <v/>
      </c>
      <c r="C7" s="2" t="n"/>
      <c r="D7" s="10">
        <f>SUMIFS(Ledger_Clean!$I$3:$I$100,Ledger_Clean!$F$3:$F$100,"EXPENSE",Ledger_Clean!$H$3:$H$100,"&lt;&gt;Savings")</f>
        <v/>
      </c>
      <c r="E7" s="2" t="n"/>
      <c r="F7" s="11">
        <f>SUMIFS(Ledger_Clean!$I$3:$I$100,Ledger_Clean!$F$3:$F$100,"EXPENSE",Ledger_Clean!$H$3:$H$100,"Savings")</f>
        <v/>
      </c>
      <c r="G7" s="2" t="n"/>
      <c r="H7" s="12">
        <f>IF(B7&gt;0,(F7+(B7-D7-F7))/B7,0)</f>
        <v/>
      </c>
      <c r="I7" s="2" t="n"/>
      <c r="J7" s="2" t="n"/>
    </row>
    <row r="8" ht="22" customHeight="1">
      <c r="B8" s="2" t="n"/>
      <c r="C8" s="2" t="n"/>
      <c r="D8" s="2" t="n"/>
      <c r="E8" s="2" t="n"/>
      <c r="F8" s="2" t="n"/>
      <c r="G8" s="2" t="n"/>
      <c r="H8" s="2" t="n"/>
      <c r="I8" s="2" t="n"/>
      <c r="J8" s="2" t="n"/>
    </row>
    <row r="10" ht="26" customHeight="1">
      <c r="B10" s="4" t="inlineStr">
        <is>
          <t>50/30/20 BUDGET COMPLIANCE &amp; HEALTH</t>
        </is>
      </c>
      <c r="C10" s="2" t="n"/>
      <c r="D10" s="2" t="n"/>
      <c r="E10" s="2" t="n"/>
      <c r="G10" s="4" t="inlineStr">
        <is>
          <t>MULTI-ACCOUNT LIQUIDITY &amp; RECONCILIATION</t>
        </is>
      </c>
      <c r="H10" s="2" t="n"/>
      <c r="I10" s="2" t="n"/>
      <c r="J10" s="2" t="n"/>
    </row>
    <row r="11" ht="24" customHeight="1">
      <c r="B11" s="13" t="inlineStr">
        <is>
          <t>Budget Bucket</t>
        </is>
      </c>
      <c r="C11" s="13" t="inlineStr">
        <is>
          <t>Actual Spent</t>
        </is>
      </c>
      <c r="D11" s="13" t="inlineStr">
        <is>
          <t>Target Budget</t>
        </is>
      </c>
      <c r="E11" s="13" t="inlineStr">
        <is>
          <t>Health Status</t>
        </is>
      </c>
      <c r="G11" s="13" t="inlineStr">
        <is>
          <t>Account / Wallet</t>
        </is>
      </c>
      <c r="H11" s="13" t="inlineStr">
        <is>
          <t>Institution Type</t>
        </is>
      </c>
      <c r="I11" s="13" t="inlineStr">
        <is>
          <t>Starting Balance</t>
        </is>
      </c>
      <c r="J11" s="13" t="inlineStr">
        <is>
          <t>Current Balance</t>
        </is>
      </c>
    </row>
    <row r="12" ht="20" customHeight="1">
      <c r="B12" s="14" t="inlineStr">
        <is>
          <t>Needs (Max 50%)</t>
        </is>
      </c>
      <c r="C12" s="15">
        <f>SUMIFS(Ledger_Clean!$I$3:$I$100,Ledger_Clean!$F$3:$F$100,"EXPENSE",Ledger_Clean!$H$3:$H$100,"Needs")</f>
        <v/>
      </c>
      <c r="D12" s="15">
        <f>B7*0.5</f>
        <v/>
      </c>
      <c r="E12" s="16">
        <f>IF(C12&lt;=D12,"✅ OPTIMAL (&lt;50%)","⚠️ OVERSPENT (&gt;50%)")</f>
        <v/>
      </c>
      <c r="G12" s="17" t="inlineStr">
        <is>
          <t>BCA</t>
        </is>
      </c>
      <c r="H12" s="18" t="inlineStr">
        <is>
          <t>Commercial Bank</t>
        </is>
      </c>
      <c r="I12" s="15" t="n">
        <v>15000000</v>
      </c>
      <c r="J12" s="19">
        <f>I12+SUMIFS(Ledger_Clean!$I$3:$I$100,Ledger_Clean!$E$3:$E$100,G12,Ledger_Clean!$F$3:$F$100,"TRANSFER")-SUMIFS(Ledger_Clean!$I$3:$I$100,Ledger_Clean!$D$3:$D$100,G12,Ledger_Clean!$F$3:$F$100,"TRANSFER")+SUMIFS(Ledger_Clean!$I$3:$I$100,Ledger_Clean!$D$3:$D$100,G12,Ledger_Clean!$F$3:$F$100,"INCOME")-SUMIFS(Ledger_Clean!$I$3:$I$100,Ledger_Clean!$D$3:$D$100,G12,Ledger_Clean!$F$3:$F$100,"EXPENSE")</f>
        <v/>
      </c>
    </row>
    <row r="13" ht="20" customHeight="1">
      <c r="B13" s="14" t="inlineStr">
        <is>
          <t>Wants (Max 30%)</t>
        </is>
      </c>
      <c r="C13" s="15">
        <f>SUMIFS(Ledger_Clean!$I$3:$I$100,Ledger_Clean!$F$3:$F$100,"EXPENSE",Ledger_Clean!$H$3:$H$100,"Wants")</f>
        <v/>
      </c>
      <c r="D13" s="15">
        <f>B7*0.3</f>
        <v/>
      </c>
      <c r="E13" s="16">
        <f>IF(C13&lt;=D13,"✅ OPTIMAL (&lt;30%)","⚠️ OVERSPENT (&gt;30%)")</f>
        <v/>
      </c>
      <c r="G13" s="17" t="inlineStr">
        <is>
          <t>Mandiri</t>
        </is>
      </c>
      <c r="H13" s="18" t="inlineStr">
        <is>
          <t>Commercial Bank</t>
        </is>
      </c>
      <c r="I13" s="15" t="n">
        <v>8500000</v>
      </c>
      <c r="J13" s="19">
        <f>I13+SUMIFS(Ledger_Clean!$I$3:$I$100,Ledger_Clean!$E$3:$E$100,G13,Ledger_Clean!$F$3:$F$100,"TRANSFER")-SUMIFS(Ledger_Clean!$I$3:$I$100,Ledger_Clean!$D$3:$D$100,G13,Ledger_Clean!$F$3:$F$100,"TRANSFER")+SUMIFS(Ledger_Clean!$I$3:$I$100,Ledger_Clean!$D$3:$D$100,G13,Ledger_Clean!$F$3:$F$100,"INCOME")-SUMIFS(Ledger_Clean!$I$3:$I$100,Ledger_Clean!$D$3:$D$100,G13,Ledger_Clean!$F$3:$F$100,"EXPENSE")</f>
        <v/>
      </c>
    </row>
    <row r="14" ht="20" customHeight="1">
      <c r="B14" s="14" t="inlineStr">
        <is>
          <t>Savings / Invest (Min 20%)</t>
        </is>
      </c>
      <c r="C14" s="15">
        <f>SUMIFS(Ledger_Clean!$I$3:$I$100,Ledger_Clean!$F$3:$F$100,"EXPENSE",Ledger_Clean!$H$3:$H$100,"Savings")</f>
        <v/>
      </c>
      <c r="D14" s="15">
        <f>B7*0.2</f>
        <v/>
      </c>
      <c r="E14" s="16">
        <f>IF(C14&gt;=D14,"✅ ON TRACK (&gt;=20%)","⚠️ UNDERFUNDED (&lt;20%)")</f>
        <v/>
      </c>
      <c r="G14" s="17" t="inlineStr">
        <is>
          <t>BRI</t>
        </is>
      </c>
      <c r="H14" s="18" t="inlineStr">
        <is>
          <t>Commercial Bank</t>
        </is>
      </c>
      <c r="I14" s="15" t="n">
        <v>2000000</v>
      </c>
      <c r="J14" s="19">
        <f>I14+SUMIFS(Ledger_Clean!$I$3:$I$100,Ledger_Clean!$E$3:$E$100,G14,Ledger_Clean!$F$3:$F$100,"TRANSFER")-SUMIFS(Ledger_Clean!$I$3:$I$100,Ledger_Clean!$D$3:$D$100,G14,Ledger_Clean!$F$3:$F$100,"TRANSFER")+SUMIFS(Ledger_Clean!$I$3:$I$100,Ledger_Clean!$D$3:$D$100,G14,Ledger_Clean!$F$3:$F$100,"INCOME")-SUMIFS(Ledger_Clean!$I$3:$I$100,Ledger_Clean!$D$3:$D$100,G14,Ledger_Clean!$F$3:$F$100,"EXPENSE")</f>
        <v/>
      </c>
    </row>
    <row r="15" ht="20" customHeight="1">
      <c r="B15" s="20" t="inlineStr">
        <is>
          <t>Total Living Outflow</t>
        </is>
      </c>
      <c r="C15" s="21">
        <f>SUM(C12:C14)</f>
        <v/>
      </c>
      <c r="D15" s="21">
        <f>SUM(D12:D14)</f>
        <v/>
      </c>
      <c r="E15" s="22">
        <f>IF(C15&lt;=B7,"✅ HEALTHY SURPLUS","⚠️ CASHFLOW DEFICIT")</f>
        <v/>
      </c>
      <c r="G15" s="17" t="inlineStr">
        <is>
          <t>BNI</t>
        </is>
      </c>
      <c r="H15" s="18" t="inlineStr">
        <is>
          <t>Commercial Bank</t>
        </is>
      </c>
      <c r="I15" s="15" t="n">
        <v>1000000</v>
      </c>
      <c r="J15" s="19">
        <f>I15+SUMIFS(Ledger_Clean!$I$3:$I$100,Ledger_Clean!$E$3:$E$100,G15,Ledger_Clean!$F$3:$F$100,"TRANSFER")-SUMIFS(Ledger_Clean!$I$3:$I$100,Ledger_Clean!$D$3:$D$100,G15,Ledger_Clean!$F$3:$F$100,"TRANSFER")+SUMIFS(Ledger_Clean!$I$3:$I$100,Ledger_Clean!$D$3:$D$100,G15,Ledger_Clean!$F$3:$F$100,"INCOME")-SUMIFS(Ledger_Clean!$I$3:$I$100,Ledger_Clean!$D$3:$D$100,G15,Ledger_Clean!$F$3:$F$100,"EXPENSE")</f>
        <v/>
      </c>
    </row>
    <row r="16" ht="20" customHeight="1">
      <c r="G16" s="17" t="inlineStr">
        <is>
          <t>Bank Jago</t>
        </is>
      </c>
      <c r="H16" s="18" t="inlineStr">
        <is>
          <t>Digital Bank</t>
        </is>
      </c>
      <c r="I16" s="15" t="n">
        <v>5000000</v>
      </c>
      <c r="J16" s="19">
        <f>I16+SUMIFS(Ledger_Clean!$I$3:$I$100,Ledger_Clean!$E$3:$E$100,G16,Ledger_Clean!$F$3:$F$100,"TRANSFER")-SUMIFS(Ledger_Clean!$I$3:$I$100,Ledger_Clean!$D$3:$D$100,G16,Ledger_Clean!$F$3:$F$100,"TRANSFER")+SUMIFS(Ledger_Clean!$I$3:$I$100,Ledger_Clean!$D$3:$D$100,G16,Ledger_Clean!$F$3:$F$100,"INCOME")-SUMIFS(Ledger_Clean!$I$3:$I$100,Ledger_Clean!$D$3:$D$100,G16,Ledger_Clean!$F$3:$F$100,"EXPENSE")</f>
        <v/>
      </c>
    </row>
    <row r="17" ht="20" customHeight="1">
      <c r="B17" s="4" t="inlineStr">
        <is>
          <t>TOP EXPENSE CATEGORIES BREAKDOWN</t>
        </is>
      </c>
      <c r="C17" s="2" t="n"/>
      <c r="D17" s="2" t="n"/>
      <c r="E17" s="2" t="n"/>
      <c r="G17" s="17" t="inlineStr">
        <is>
          <t>SeaBank</t>
        </is>
      </c>
      <c r="H17" s="18" t="inlineStr">
        <is>
          <t>Digital Bank</t>
        </is>
      </c>
      <c r="I17" s="15" t="n">
        <v>4000000</v>
      </c>
      <c r="J17" s="19">
        <f>I17+SUMIFS(Ledger_Clean!$I$3:$I$100,Ledger_Clean!$E$3:$E$100,G17,Ledger_Clean!$F$3:$F$100,"TRANSFER")-SUMIFS(Ledger_Clean!$I$3:$I$100,Ledger_Clean!$D$3:$D$100,G17,Ledger_Clean!$F$3:$F$100,"TRANSFER")+SUMIFS(Ledger_Clean!$I$3:$I$100,Ledger_Clean!$D$3:$D$100,G17,Ledger_Clean!$F$3:$F$100,"INCOME")-SUMIFS(Ledger_Clean!$I$3:$I$100,Ledger_Clean!$D$3:$D$100,G17,Ledger_Clean!$F$3:$F$100,"EXPENSE")</f>
        <v/>
      </c>
    </row>
    <row r="18" ht="20" customHeight="1">
      <c r="B18" s="13" t="inlineStr">
        <is>
          <t>Category Name</t>
        </is>
      </c>
      <c r="C18" s="13" t="inlineStr">
        <is>
          <t>Bucket</t>
        </is>
      </c>
      <c r="D18" s="13" t="inlineStr">
        <is>
          <t>Actual Spent</t>
        </is>
      </c>
      <c r="E18" s="13" t="inlineStr">
        <is>
          <t>% of Total Income</t>
        </is>
      </c>
      <c r="G18" s="17" t="inlineStr">
        <is>
          <t>GoPay</t>
        </is>
      </c>
      <c r="H18" s="18" t="inlineStr">
        <is>
          <t>E-Wallet</t>
        </is>
      </c>
      <c r="I18" s="15" t="n">
        <v>150000</v>
      </c>
      <c r="J18" s="19">
        <f>I18+SUMIFS(Ledger_Clean!$I$3:$I$100,Ledger_Clean!$E$3:$E$100,G18,Ledger_Clean!$F$3:$F$100,"TRANSFER")-SUMIFS(Ledger_Clean!$I$3:$I$100,Ledger_Clean!$D$3:$D$100,G18,Ledger_Clean!$F$3:$F$100,"TRANSFER")+SUMIFS(Ledger_Clean!$I$3:$I$100,Ledger_Clean!$D$3:$D$100,G18,Ledger_Clean!$F$3:$F$100,"INCOME")-SUMIFS(Ledger_Clean!$I$3:$I$100,Ledger_Clean!$D$3:$D$100,G18,Ledger_Clean!$F$3:$F$100,"EXPENSE")</f>
        <v/>
      </c>
    </row>
    <row r="19" ht="20" customHeight="1">
      <c r="B19" s="14" t="inlineStr">
        <is>
          <t>Groceries &amp; Food Supplies</t>
        </is>
      </c>
      <c r="C19" s="23" t="inlineStr">
        <is>
          <t>Needs</t>
        </is>
      </c>
      <c r="D19" s="15">
        <f>SUMIFS(Ledger_Clean!$I$3:$I$100,Ledger_Clean!$G$3:$G$100,B19,Ledger_Clean!$F$3:$F$100,"EXPENSE")</f>
        <v/>
      </c>
      <c r="E19" s="24">
        <f>IF($B$7&gt;0,D19/$B$7,0)</f>
        <v/>
      </c>
      <c r="G19" s="17" t="inlineStr">
        <is>
          <t>OVO</t>
        </is>
      </c>
      <c r="H19" s="18" t="inlineStr">
        <is>
          <t>E-Wallet</t>
        </is>
      </c>
      <c r="I19" s="15" t="n">
        <v>75000</v>
      </c>
      <c r="J19" s="19">
        <f>I19+SUMIFS(Ledger_Clean!$I$3:$I$100,Ledger_Clean!$E$3:$E$100,G19,Ledger_Clean!$F$3:$F$100,"TRANSFER")-SUMIFS(Ledger_Clean!$I$3:$I$100,Ledger_Clean!$D$3:$D$100,G19,Ledger_Clean!$F$3:$F$100,"TRANSFER")+SUMIFS(Ledger_Clean!$I$3:$I$100,Ledger_Clean!$D$3:$D$100,G19,Ledger_Clean!$F$3:$F$100,"INCOME")-SUMIFS(Ledger_Clean!$I$3:$I$100,Ledger_Clean!$D$3:$D$100,G19,Ledger_Clean!$F$3:$F$100,"EXPENSE")</f>
        <v/>
      </c>
    </row>
    <row r="20" ht="20" customHeight="1">
      <c r="B20" s="14" t="inlineStr">
        <is>
          <t>Utilities &amp; Bills (PLN, Water, Net)</t>
        </is>
      </c>
      <c r="C20" s="23" t="inlineStr">
        <is>
          <t>Needs</t>
        </is>
      </c>
      <c r="D20" s="15">
        <f>SUMIFS(Ledger_Clean!$I$3:$I$100,Ledger_Clean!$G$3:$G$100,B20,Ledger_Clean!$F$3:$F$100,"EXPENSE")</f>
        <v/>
      </c>
      <c r="E20" s="24">
        <f>IF($B$7&gt;0,D20/$B$7,0)</f>
        <v/>
      </c>
      <c r="G20" s="17" t="inlineStr">
        <is>
          <t>DANA</t>
        </is>
      </c>
      <c r="H20" s="18" t="inlineStr">
        <is>
          <t>E-Wallet</t>
        </is>
      </c>
      <c r="I20" s="15" t="n">
        <v>120000</v>
      </c>
      <c r="J20" s="19">
        <f>I20+SUMIFS(Ledger_Clean!$I$3:$I$100,Ledger_Clean!$E$3:$E$100,G20,Ledger_Clean!$F$3:$F$100,"TRANSFER")-SUMIFS(Ledger_Clean!$I$3:$I$100,Ledger_Clean!$D$3:$D$100,G20,Ledger_Clean!$F$3:$F$100,"TRANSFER")+SUMIFS(Ledger_Clean!$I$3:$I$100,Ledger_Clean!$D$3:$D$100,G20,Ledger_Clean!$F$3:$F$100,"INCOME")-SUMIFS(Ledger_Clean!$I$3:$I$100,Ledger_Clean!$D$3:$D$100,G20,Ledger_Clean!$F$3:$F$100,"EXPENSE")</f>
        <v/>
      </c>
    </row>
    <row r="21" ht="20" customHeight="1">
      <c r="B21" s="14" t="inlineStr">
        <is>
          <t>Transportation &amp; Commute</t>
        </is>
      </c>
      <c r="C21" s="23" t="inlineStr">
        <is>
          <t>Needs</t>
        </is>
      </c>
      <c r="D21" s="15">
        <f>SUMIFS(Ledger_Clean!$I$3:$I$100,Ledger_Clean!$G$3:$G$100,B21,Ledger_Clean!$F$3:$F$100,"EXPENSE")</f>
        <v/>
      </c>
      <c r="E21" s="24">
        <f>IF($B$7&gt;0,D21/$B$7,0)</f>
        <v/>
      </c>
      <c r="G21" s="17" t="inlineStr">
        <is>
          <t>ShopeePay</t>
        </is>
      </c>
      <c r="H21" s="18" t="inlineStr">
        <is>
          <t>E-Wallet</t>
        </is>
      </c>
      <c r="I21" s="15" t="n">
        <v>90000</v>
      </c>
      <c r="J21" s="19">
        <f>I21+SUMIFS(Ledger_Clean!$I$3:$I$100,Ledger_Clean!$E$3:$E$100,G21,Ledger_Clean!$F$3:$F$100,"TRANSFER")-SUMIFS(Ledger_Clean!$I$3:$I$100,Ledger_Clean!$D$3:$D$100,G21,Ledger_Clean!$F$3:$F$100,"TRANSFER")+SUMIFS(Ledger_Clean!$I$3:$I$100,Ledger_Clean!$D$3:$D$100,G21,Ledger_Clean!$F$3:$F$100,"INCOME")-SUMIFS(Ledger_Clean!$I$3:$I$100,Ledger_Clean!$D$3:$D$100,G21,Ledger_Clean!$F$3:$F$100,"EXPENSE")</f>
        <v/>
      </c>
    </row>
    <row r="22" ht="20" customHeight="1">
      <c r="B22" s="14" t="inlineStr">
        <is>
          <t>Healthcare &amp; Pharmacy</t>
        </is>
      </c>
      <c r="C22" s="23" t="inlineStr">
        <is>
          <t>Needs</t>
        </is>
      </c>
      <c r="D22" s="15">
        <f>SUMIFS(Ledger_Clean!$I$3:$I$100,Ledger_Clean!$G$3:$G$100,B22,Ledger_Clean!$F$3:$F$100,"EXPENSE")</f>
        <v/>
      </c>
      <c r="E22" s="24">
        <f>IF($B$7&gt;0,D22/$B$7,0)</f>
        <v/>
      </c>
      <c r="G22" s="17" t="inlineStr">
        <is>
          <t>Cash</t>
        </is>
      </c>
      <c r="H22" s="18" t="inlineStr">
        <is>
          <t>Physical Cash</t>
        </is>
      </c>
      <c r="I22" s="15" t="n">
        <v>500000</v>
      </c>
      <c r="J22" s="19">
        <f>I22+SUMIFS(Ledger_Clean!$I$3:$I$100,Ledger_Clean!$E$3:$E$100,G22,Ledger_Clean!$F$3:$F$100,"TRANSFER")-SUMIFS(Ledger_Clean!$I$3:$I$100,Ledger_Clean!$D$3:$D$100,G22,Ledger_Clean!$F$3:$F$100,"TRANSFER")+SUMIFS(Ledger_Clean!$I$3:$I$100,Ledger_Clean!$D$3:$D$100,G22,Ledger_Clean!$F$3:$F$100,"INCOME")-SUMIFS(Ledger_Clean!$I$3:$I$100,Ledger_Clean!$D$3:$D$100,G22,Ledger_Clean!$F$3:$F$100,"EXPENSE")</f>
        <v/>
      </c>
    </row>
    <row r="23" ht="26" customHeight="1">
      <c r="B23" s="14" t="inlineStr">
        <is>
          <t>Dining Out &amp; Cafes</t>
        </is>
      </c>
      <c r="C23" s="25" t="inlineStr">
        <is>
          <t>Wants</t>
        </is>
      </c>
      <c r="D23" s="15">
        <f>SUMIFS(Ledger_Clean!$I$3:$I$100,Ledger_Clean!$G$3:$G$100,B23,Ledger_Clean!$F$3:$F$100,"EXPENSE")</f>
        <v/>
      </c>
      <c r="E23" s="24">
        <f>IF($B$7&gt;0,D23/$B$7,0)</f>
        <v/>
      </c>
      <c r="G23" s="26" t="inlineStr">
        <is>
          <t>TOTAL LIQUID NET WORTH (ALL ACCOUNTS)</t>
        </is>
      </c>
      <c r="H23" s="27" t="n"/>
      <c r="I23" s="27" t="n"/>
      <c r="J23" s="28">
        <f>SUM(J12:J22)</f>
        <v/>
      </c>
    </row>
    <row r="24" ht="20" customHeight="1">
      <c r="B24" s="14" t="inlineStr">
        <is>
          <t>Entertainment &amp; Subscriptions</t>
        </is>
      </c>
      <c r="C24" s="25" t="inlineStr">
        <is>
          <t>Wants</t>
        </is>
      </c>
      <c r="D24" s="15">
        <f>SUMIFS(Ledger_Clean!$I$3:$I$100,Ledger_Clean!$G$3:$G$100,B24,Ledger_Clean!$F$3:$F$100,"EXPENSE")</f>
        <v/>
      </c>
      <c r="E24" s="24">
        <f>IF($B$7&gt;0,D24/$B$7,0)</f>
        <v/>
      </c>
    </row>
    <row r="25" ht="20" customHeight="1">
      <c r="B25" s="14" t="inlineStr">
        <is>
          <t>Shopping &amp; Retail</t>
        </is>
      </c>
      <c r="C25" s="25" t="inlineStr">
        <is>
          <t>Wants</t>
        </is>
      </c>
      <c r="D25" s="15">
        <f>SUMIFS(Ledger_Clean!$I$3:$I$100,Ledger_Clean!$G$3:$G$100,B25,Ledger_Clean!$F$3:$F$100,"EXPENSE")</f>
        <v/>
      </c>
      <c r="E25" s="24">
        <f>IF($B$7&gt;0,D25/$B$7,0)</f>
        <v/>
      </c>
    </row>
    <row r="26" ht="20" customHeight="1">
      <c r="B26" s="14" t="inlineStr">
        <is>
          <t>Mutual Funds &amp; Stocks</t>
        </is>
      </c>
      <c r="C26" s="29" t="inlineStr">
        <is>
          <t>Savings</t>
        </is>
      </c>
      <c r="D26" s="15">
        <f>SUMIFS(Ledger_Clean!$I$3:$I$100,Ledger_Clean!$G$3:$G$100,B26,Ledger_Clean!$F$3:$F$100,"EXPENSE")</f>
        <v/>
      </c>
      <c r="E26" s="24">
        <f>IF($B$7&gt;0,D26/$B$7,0)</f>
        <v/>
      </c>
    </row>
    <row r="27" ht="20" customHeight="1">
      <c r="B27" s="14" t="inlineStr">
        <is>
          <t>Emergency Fund Reserve</t>
        </is>
      </c>
      <c r="C27" s="29" t="inlineStr">
        <is>
          <t>Savings</t>
        </is>
      </c>
      <c r="D27" s="15">
        <f>SUMIFS(Ledger_Clean!$I$3:$I$100,Ledger_Clean!$G$3:$G$100,B27,Ledger_Clean!$F$3:$F$100,"EXPENSE")</f>
        <v/>
      </c>
      <c r="E27" s="24">
        <f>IF($B$7&gt;0,D27/$B$7,0)</f>
        <v/>
      </c>
    </row>
  </sheetData>
  <mergeCells count="17">
    <mergeCell ref="H7:J8"/>
    <mergeCell ref="D6:E6"/>
    <mergeCell ref="B6:C6"/>
    <mergeCell ref="B3:D3"/>
    <mergeCell ref="G10:J10"/>
    <mergeCell ref="B5:J5"/>
    <mergeCell ref="B17:E17"/>
    <mergeCell ref="D7:E8"/>
    <mergeCell ref="B7:C8"/>
    <mergeCell ref="G23:I23"/>
    <mergeCell ref="F7:G8"/>
    <mergeCell ref="F6:G6"/>
    <mergeCell ref="E3:G3"/>
    <mergeCell ref="H3:J3"/>
    <mergeCell ref="B10:E10"/>
    <mergeCell ref="B2:J2"/>
    <mergeCell ref="H6:J6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2"/>
  <sheetViews>
    <sheetView showGridLines="1" workbookViewId="0">
      <selection activeCell="A1" sqref="A1"/>
    </sheetView>
  </sheetViews>
  <sheetFormatPr baseColWidth="8" defaultRowHeight="15"/>
  <cols>
    <col width="20" customWidth="1" min="1" max="1"/>
    <col width="22" customWidth="1" min="2" max="2"/>
    <col width="16" customWidth="1" min="3" max="3"/>
    <col width="20" customWidth="1" min="4" max="4"/>
    <col width="68" customWidth="1" min="5" max="5"/>
    <col width="18" customWidth="1" min="6" max="6"/>
    <col width="10" customWidth="1" min="7" max="7"/>
    <col width="26" customWidth="1" min="8" max="8"/>
    <col width="16" customWidth="1" min="9" max="9"/>
    <col width="18" customWidth="1" min="10" max="10"/>
  </cols>
  <sheetData>
    <row r="1" ht="30" customHeight="1">
      <c r="A1" s="30" t="inlineStr">
        <is>
          <t>TRANSACTIONS_RAW — BRONZE INGESTION LOG (IMMUTABLE AUDIT TRAIL)</t>
        </is>
      </c>
    </row>
    <row r="2" ht="24" customHeight="1">
      <c r="A2" s="31" t="inlineStr">
        <is>
          <t>raw_id</t>
        </is>
      </c>
      <c r="B2" s="31" t="inlineStr">
        <is>
          <t>ingestion_timestamp</t>
        </is>
      </c>
      <c r="C2" s="31" t="inlineStr">
        <is>
          <t>source_institution</t>
        </is>
      </c>
      <c r="D2" s="31" t="inlineStr">
        <is>
          <t>channel</t>
        </is>
      </c>
      <c r="E2" s="31" t="inlineStr">
        <is>
          <t>raw_payload</t>
        </is>
      </c>
      <c r="F2" s="31" t="inlineStr">
        <is>
          <t>parsed_amount</t>
        </is>
      </c>
      <c r="G2" s="31" t="inlineStr">
        <is>
          <t>parsed_direction</t>
        </is>
      </c>
      <c r="H2" s="31" t="inlineStr">
        <is>
          <t>payload_hash</t>
        </is>
      </c>
      <c r="I2" s="31" t="inlineStr">
        <is>
          <t>processing_status</t>
        </is>
      </c>
      <c r="J2" s="31" t="inlineStr">
        <is>
          <t>clean_ledger_ref</t>
        </is>
      </c>
    </row>
    <row r="3" ht="20" customHeight="1">
      <c r="A3" s="16" t="inlineStr">
        <is>
          <t>RAW-20260901-001</t>
        </is>
      </c>
      <c r="B3" s="18" t="inlineStr">
        <is>
          <t>2026-09-01 07:14:00</t>
        </is>
      </c>
      <c r="C3" s="17" t="inlineStr">
        <is>
          <t>BCA</t>
        </is>
      </c>
      <c r="D3" s="18" t="inlineStr">
        <is>
          <t>PUSH_NOTIFICATION</t>
        </is>
      </c>
      <c r="E3" s="14" t="inlineStr">
        <is>
          <t>m-Transfer: 01/09 07:14 TRSF DARI PT TECH NUSANTARA Rp 25.000.000,00 KE REK 5310294821</t>
        </is>
      </c>
      <c r="F3" s="19" t="n">
        <v>25000000</v>
      </c>
      <c r="G3" s="32" t="inlineStr">
        <is>
          <t>CR</t>
        </is>
      </c>
      <c r="H3" s="33" t="inlineStr">
        <is>
          <t>80286869b1f5de034e0ad569abd7d0a92d353c7b64e1280292a9369f8095a73a</t>
        </is>
      </c>
      <c r="I3" s="32" t="inlineStr">
        <is>
          <t>PROCESSED</t>
        </is>
      </c>
      <c r="J3" s="16" t="inlineStr">
        <is>
          <t>TX-202609-001</t>
        </is>
      </c>
    </row>
    <row r="4" ht="20" customHeight="1">
      <c r="A4" s="16" t="inlineStr">
        <is>
          <t>RAW-20260901-002</t>
        </is>
      </c>
      <c r="B4" s="18" t="inlineStr">
        <is>
          <t>2026-09-01 10:30:15</t>
        </is>
      </c>
      <c r="C4" s="17" t="inlineStr">
        <is>
          <t>BCA</t>
        </is>
      </c>
      <c r="D4" s="18" t="inlineStr">
        <is>
          <t>PUSH_NOTIFICATION</t>
        </is>
      </c>
      <c r="E4" s="14" t="inlineStr">
        <is>
          <t>m-Transfer: 01/09 10:30 TOPUP KE GOPAY RIFQI Rp 1.000.000,00 REK 5310294821</t>
        </is>
      </c>
      <c r="F4" s="19" t="n">
        <v>1000000</v>
      </c>
      <c r="G4" s="23" t="inlineStr">
        <is>
          <t>DB</t>
        </is>
      </c>
      <c r="H4" s="33" t="inlineStr">
        <is>
          <t>a6e786371d9e041ec6ab7ffaf8654559283963f3a663359609c4aff96bc75fa7</t>
        </is>
      </c>
      <c r="I4" s="32" t="inlineStr">
        <is>
          <t>PROCESSED</t>
        </is>
      </c>
      <c r="J4" s="16" t="inlineStr">
        <is>
          <t>TX-202609-002</t>
        </is>
      </c>
    </row>
    <row r="5" ht="20" customHeight="1">
      <c r="A5" s="16" t="inlineStr">
        <is>
          <t>RAW-20260902-003</t>
        </is>
      </c>
      <c r="B5" s="18" t="inlineStr">
        <is>
          <t>2026-09-02 14:15:30</t>
        </is>
      </c>
      <c r="C5" s="17" t="inlineStr">
        <is>
          <t>Mandiri</t>
        </is>
      </c>
      <c r="D5" s="18" t="inlineStr">
        <is>
          <t>SMS_NOTIFICATION</t>
        </is>
      </c>
      <c r="E5" s="14" t="inlineStr">
        <is>
          <t>Livin' Mandiri: 02/09 14:15 PEMBAYARAN PLN PASCA IDPEL 53210984 Rp 850.000,00 SUKSES</t>
        </is>
      </c>
      <c r="F5" s="19" t="n">
        <v>850000</v>
      </c>
      <c r="G5" s="23" t="inlineStr">
        <is>
          <t>DB</t>
        </is>
      </c>
      <c r="H5" s="33" t="inlineStr">
        <is>
          <t>5bff84725c764f6d9078c704e2073621f710e73edf35dea9f4e8b753df1eadd6</t>
        </is>
      </c>
      <c r="I5" s="32" t="inlineStr">
        <is>
          <t>PROCESSED</t>
        </is>
      </c>
      <c r="J5" s="16" t="inlineStr">
        <is>
          <t>TX-202609-003</t>
        </is>
      </c>
    </row>
    <row r="6" ht="20" customHeight="1">
      <c r="A6" s="16" t="inlineStr">
        <is>
          <t>RAW-20260902-004</t>
        </is>
      </c>
      <c r="B6" s="18" t="inlineStr">
        <is>
          <t>2026-09-02 19:20:05</t>
        </is>
      </c>
      <c r="C6" s="17" t="inlineStr">
        <is>
          <t>BCA</t>
        </is>
      </c>
      <c r="D6" s="18" t="inlineStr">
        <is>
          <t>EMAIL_RECEIPT</t>
        </is>
      </c>
      <c r="E6" s="14" t="inlineStr">
        <is>
          <t>BCA Autodebet: 02/09 19:20 TAGIHAN INTERNET INDIHOME NO 12249821 Rp 450.000,00 BERHASIL</t>
        </is>
      </c>
      <c r="F6" s="19" t="n">
        <v>450000</v>
      </c>
      <c r="G6" s="23" t="inlineStr">
        <is>
          <t>DB</t>
        </is>
      </c>
      <c r="H6" s="33" t="inlineStr">
        <is>
          <t>ae51507398e5ef84199e5801ab9409637e93ccbaf60847c85ffac843a3efcdce</t>
        </is>
      </c>
      <c r="I6" s="32" t="inlineStr">
        <is>
          <t>PROCESSED</t>
        </is>
      </c>
      <c r="J6" s="16" t="inlineStr">
        <is>
          <t>TX-202609-004</t>
        </is>
      </c>
    </row>
    <row r="7" ht="20" customHeight="1">
      <c r="A7" s="16" t="inlineStr">
        <is>
          <t>RAW-20260903-005</t>
        </is>
      </c>
      <c r="B7" s="18" t="inlineStr">
        <is>
          <t>2026-09-03 16:45:10</t>
        </is>
      </c>
      <c r="C7" s="17" t="inlineStr">
        <is>
          <t>BCA</t>
        </is>
      </c>
      <c r="D7" s="18" t="inlineStr">
        <is>
          <t>PUSH_NOTIFICATION</t>
        </is>
      </c>
      <c r="E7" s="14" t="inlineStr">
        <is>
          <t>Debit BCA: 03/09 16:45 EDC INDOMARET FRESH TB SIMATUPANG Rp 1.450.000,00 SUKSES</t>
        </is>
      </c>
      <c r="F7" s="19" t="n">
        <v>1450000</v>
      </c>
      <c r="G7" s="23" t="inlineStr">
        <is>
          <t>DB</t>
        </is>
      </c>
      <c r="H7" s="33" t="inlineStr">
        <is>
          <t>6342db45f7e6e560f4b6d13e68dd9a2400936f6ed6cea2428f408320b637b13e</t>
        </is>
      </c>
      <c r="I7" s="32" t="inlineStr">
        <is>
          <t>PROCESSED</t>
        </is>
      </c>
      <c r="J7" s="16" t="inlineStr">
        <is>
          <t>TX-202609-005</t>
        </is>
      </c>
    </row>
    <row r="8" ht="20" customHeight="1">
      <c r="A8" s="16" t="inlineStr">
        <is>
          <t>RAW-20260904-006</t>
        </is>
      </c>
      <c r="B8" s="18" t="inlineStr">
        <is>
          <t>2026-09-04 09:12:44</t>
        </is>
      </c>
      <c r="C8" s="17" t="inlineStr">
        <is>
          <t>GoPay</t>
        </is>
      </c>
      <c r="D8" s="18" t="inlineStr">
        <is>
          <t>PUSH_NOTIFICATION</t>
        </is>
      </c>
      <c r="E8" s="14" t="inlineStr">
        <is>
          <t>GoPay: 04/09 09:12 Pembayaran QRIS Kopi Kenangan Menara Astra Rp 48.000 Berhasil</t>
        </is>
      </c>
      <c r="F8" s="19" t="n">
        <v>48000</v>
      </c>
      <c r="G8" s="23" t="inlineStr">
        <is>
          <t>DB</t>
        </is>
      </c>
      <c r="H8" s="33" t="inlineStr">
        <is>
          <t>9d0e9d9b08a23128f0b13235393da7e4130ebc2dc613d63fd2f4e064839b0120</t>
        </is>
      </c>
      <c r="I8" s="32" t="inlineStr">
        <is>
          <t>PROCESSED</t>
        </is>
      </c>
      <c r="J8" s="16" t="inlineStr">
        <is>
          <t>TX-202609-006</t>
        </is>
      </c>
    </row>
    <row r="9" ht="20" customHeight="1">
      <c r="A9" s="16" t="inlineStr">
        <is>
          <t>RAW-20260905-007</t>
        </is>
      </c>
      <c r="B9" s="18" t="inlineStr">
        <is>
          <t>2026-09-05 08:30:12</t>
        </is>
      </c>
      <c r="C9" s="17" t="inlineStr">
        <is>
          <t>GoPay</t>
        </is>
      </c>
      <c r="D9" s="18" t="inlineStr">
        <is>
          <t>PUSH_NOTIFICATION</t>
        </is>
      </c>
      <c r="E9" s="14" t="inlineStr">
        <is>
          <t>GoPay: 05/09 08:30 GoCar ke Pacific Place SCBD Rp 65.000 Berhasil</t>
        </is>
      </c>
      <c r="F9" s="19" t="n">
        <v>65000</v>
      </c>
      <c r="G9" s="23" t="inlineStr">
        <is>
          <t>DB</t>
        </is>
      </c>
      <c r="H9" s="33" t="inlineStr">
        <is>
          <t>87d396f5a500a2a97071dd2392b6f2fa9f62ce5ed970bb3d47d585f3ee22c7f2</t>
        </is>
      </c>
      <c r="I9" s="32" t="inlineStr">
        <is>
          <t>PROCESSED</t>
        </is>
      </c>
      <c r="J9" s="16" t="inlineStr">
        <is>
          <t>TX-202609-007</t>
        </is>
      </c>
    </row>
    <row r="10" ht="20" customHeight="1">
      <c r="A10" s="16" t="inlineStr">
        <is>
          <t>RAW-20260906-008</t>
        </is>
      </c>
      <c r="B10" s="18" t="inlineStr">
        <is>
          <t>2026-09-06 12:35:50</t>
        </is>
      </c>
      <c r="C10" s="17" t="inlineStr">
        <is>
          <t>ShopeePay</t>
        </is>
      </c>
      <c r="D10" s="18" t="inlineStr">
        <is>
          <t>PUSH_NOTIFICATION</t>
        </is>
      </c>
      <c r="E10" s="14" t="inlineStr">
        <is>
          <t>ShopeePay: 06/09 12:35 QRIS Restoran Sederhana Padang Rp 45.000 Sukses</t>
        </is>
      </c>
      <c r="F10" s="19" t="n">
        <v>45000</v>
      </c>
      <c r="G10" s="23" t="inlineStr">
        <is>
          <t>DB</t>
        </is>
      </c>
      <c r="H10" s="33" t="inlineStr">
        <is>
          <t>563bd820a295ae2e4f84d415ab146084285496eadd03c62d748311697d246227</t>
        </is>
      </c>
      <c r="I10" s="32" t="inlineStr">
        <is>
          <t>PROCESSED</t>
        </is>
      </c>
      <c r="J10" s="16" t="inlineStr">
        <is>
          <t>TX-202609-008</t>
        </is>
      </c>
    </row>
    <row r="11" ht="20" customHeight="1">
      <c r="A11" s="16" t="inlineStr">
        <is>
          <t>RAW-20260907-009</t>
        </is>
      </c>
      <c r="B11" s="18" t="inlineStr">
        <is>
          <t>2026-09-07 17:20:00</t>
        </is>
      </c>
      <c r="C11" s="17" t="inlineStr">
        <is>
          <t>Cash</t>
        </is>
      </c>
      <c r="D11" s="18" t="inlineStr">
        <is>
          <t>MANUAL_ENTRY</t>
        </is>
      </c>
      <c r="E11" s="14" t="inlineStr">
        <is>
          <t>Struk Pembelian Tunai Apotek Kimia Farma Resep Vitamin Rp 175.000</t>
        </is>
      </c>
      <c r="F11" s="19" t="n">
        <v>175000</v>
      </c>
      <c r="G11" s="23" t="inlineStr">
        <is>
          <t>DB</t>
        </is>
      </c>
      <c r="H11" s="33" t="inlineStr">
        <is>
          <t>3b6c789607a5a1b7734a8e8d558e19736f49944b58315262a3ef15281a4b18cb</t>
        </is>
      </c>
      <c r="I11" s="32" t="inlineStr">
        <is>
          <t>PROCESSED</t>
        </is>
      </c>
      <c r="J11" s="16" t="inlineStr">
        <is>
          <t>TX-202609-009</t>
        </is>
      </c>
    </row>
    <row r="12" ht="20" customHeight="1">
      <c r="A12" s="16" t="inlineStr">
        <is>
          <t>RAW-20260908-010</t>
        </is>
      </c>
      <c r="B12" s="18" t="inlineStr">
        <is>
          <t>2026-09-08 03:00:18</t>
        </is>
      </c>
      <c r="C12" s="17" t="inlineStr">
        <is>
          <t>Bank Jago</t>
        </is>
      </c>
      <c r="D12" s="18" t="inlineStr">
        <is>
          <t>PUSH_NOTIFICATION</t>
        </is>
      </c>
      <c r="E12" s="14" t="inlineStr">
        <is>
          <t>Bank Jago: 08/09 03:00 Kantong Utama Debit Netflix Premium Rp 186.000 Berhasil</t>
        </is>
      </c>
      <c r="F12" s="19" t="n">
        <v>186000</v>
      </c>
      <c r="G12" s="23" t="inlineStr">
        <is>
          <t>DB</t>
        </is>
      </c>
      <c r="H12" s="33" t="inlineStr">
        <is>
          <t>8c34d87d3a35c044769f626c3572c60bdc44bb4c89993bbf99d981f88f7fe203</t>
        </is>
      </c>
      <c r="I12" s="32" t="inlineStr">
        <is>
          <t>PROCESSED</t>
        </is>
      </c>
      <c r="J12" s="16" t="inlineStr">
        <is>
          <t>TX-202609-010</t>
        </is>
      </c>
    </row>
    <row r="13" ht="20" customHeight="1">
      <c r="A13" s="16" t="inlineStr">
        <is>
          <t>RAW-20260909-011</t>
        </is>
      </c>
      <c r="B13" s="18" t="inlineStr">
        <is>
          <t>2026-09-09 15:40:22</t>
        </is>
      </c>
      <c r="C13" s="17" t="inlineStr">
        <is>
          <t>DANA</t>
        </is>
      </c>
      <c r="D13" s="18" t="inlineStr">
        <is>
          <t>PUSH_NOTIFICATION</t>
        </is>
      </c>
      <c r="E13" s="14" t="inlineStr">
        <is>
          <t>DANA Protection: 09/09 15:40 QRIS Indomaret Snack &amp; Minuman Rp 54.000 Berhasil</t>
        </is>
      </c>
      <c r="F13" s="19" t="n">
        <v>54000</v>
      </c>
      <c r="G13" s="23" t="inlineStr">
        <is>
          <t>DB</t>
        </is>
      </c>
      <c r="H13" s="33" t="inlineStr">
        <is>
          <t>b529387369eae0bfe32f2105b06c3664b23d774c2adf771aa3e7152e7e2a2159</t>
        </is>
      </c>
      <c r="I13" s="32" t="inlineStr">
        <is>
          <t>PROCESSED</t>
        </is>
      </c>
      <c r="J13" s="16" t="inlineStr">
        <is>
          <t>TX-202609-011</t>
        </is>
      </c>
    </row>
    <row r="14" ht="20" customHeight="1">
      <c r="A14" s="16" t="inlineStr">
        <is>
          <t>RAW-20260910-012</t>
        </is>
      </c>
      <c r="B14" s="18" t="inlineStr">
        <is>
          <t>2026-09-10 11:00:00</t>
        </is>
      </c>
      <c r="C14" s="17" t="inlineStr">
        <is>
          <t>Bank Jago</t>
        </is>
      </c>
      <c r="D14" s="18" t="inlineStr">
        <is>
          <t>PUSH_NOTIFICATION</t>
        </is>
      </c>
      <c r="E14" s="14" t="inlineStr">
        <is>
          <t>Bank Jago: 10/09 11:00 Kantong Investasi Top Up Bibit Reksadana Indeks Rp 3.000.000 Berhasil</t>
        </is>
      </c>
      <c r="F14" s="19" t="n">
        <v>3000000</v>
      </c>
      <c r="G14" s="23" t="inlineStr">
        <is>
          <t>DB</t>
        </is>
      </c>
      <c r="H14" s="33" t="inlineStr">
        <is>
          <t>bc2b8da8fbb05020a8dc84cbb8027ae68f3976b41e4d38a0ac2349799932fceb</t>
        </is>
      </c>
      <c r="I14" s="32" t="inlineStr">
        <is>
          <t>PROCESSED</t>
        </is>
      </c>
      <c r="J14" s="16" t="inlineStr">
        <is>
          <t>TX-202609-012</t>
        </is>
      </c>
    </row>
    <row r="15" ht="20" customHeight="1">
      <c r="A15" s="16" t="inlineStr">
        <is>
          <t>RAW-20260911-013</t>
        </is>
      </c>
      <c r="B15" s="18" t="inlineStr">
        <is>
          <t>2026-09-11 20:15:35</t>
        </is>
      </c>
      <c r="C15" s="17" t="inlineStr">
        <is>
          <t>BCA</t>
        </is>
      </c>
      <c r="D15" s="18" t="inlineStr">
        <is>
          <t>PUSH_NOTIFICATION</t>
        </is>
      </c>
      <c r="E15" s="14" t="inlineStr">
        <is>
          <t>Debit BCA: 11/09 20:15 EDC Sushi Tei Senayan City Rp 420.000,00 Sukses</t>
        </is>
      </c>
      <c r="F15" s="19" t="n">
        <v>420000</v>
      </c>
      <c r="G15" s="23" t="inlineStr">
        <is>
          <t>DB</t>
        </is>
      </c>
      <c r="H15" s="33" t="inlineStr">
        <is>
          <t>dc0b95a752b0e9f5286501f39aea52bf5a1d46b9a4a6e5ba909f1b93b82bea92</t>
        </is>
      </c>
      <c r="I15" s="32" t="inlineStr">
        <is>
          <t>PROCESSED</t>
        </is>
      </c>
      <c r="J15" s="16" t="inlineStr">
        <is>
          <t>TX-202609-013</t>
        </is>
      </c>
    </row>
    <row r="16" ht="20" customHeight="1">
      <c r="A16" s="16" t="inlineStr">
        <is>
          <t>RAW-20260912-014</t>
        </is>
      </c>
      <c r="B16" s="18" t="inlineStr">
        <is>
          <t>2026-09-12 10:10:45</t>
        </is>
      </c>
      <c r="C16" s="17" t="inlineStr">
        <is>
          <t>Mandiri</t>
        </is>
      </c>
      <c r="D16" s="18" t="inlineStr">
        <is>
          <t>PUSH_NOTIFICATION</t>
        </is>
      </c>
      <c r="E16" s="14" t="inlineStr">
        <is>
          <t>Livin' Mandiri: 12/09 10:10 QRIS SPBU Shell TB Simatupang Rp 350.000,00 Sukses</t>
        </is>
      </c>
      <c r="F16" s="19" t="n">
        <v>350000</v>
      </c>
      <c r="G16" s="23" t="inlineStr">
        <is>
          <t>DB</t>
        </is>
      </c>
      <c r="H16" s="33" t="inlineStr">
        <is>
          <t>eb614c4170ea7540ce15cb0155c5ddf792541b426308dfbf2466ddf98c7de9a2</t>
        </is>
      </c>
      <c r="I16" s="32" t="inlineStr">
        <is>
          <t>PROCESSED</t>
        </is>
      </c>
      <c r="J16" s="16" t="inlineStr">
        <is>
          <t>TX-202609-014</t>
        </is>
      </c>
    </row>
    <row r="17" ht="20" customHeight="1">
      <c r="A17" s="16" t="inlineStr">
        <is>
          <t>RAW-20260913-015</t>
        </is>
      </c>
      <c r="B17" s="18" t="inlineStr">
        <is>
          <t>2026-09-13 14:50:11</t>
        </is>
      </c>
      <c r="C17" s="17" t="inlineStr">
        <is>
          <t>SeaBank</t>
        </is>
      </c>
      <c r="D17" s="18" t="inlineStr">
        <is>
          <t>EMAIL_RECEIPT</t>
        </is>
      </c>
      <c r="E17" s="14" t="inlineStr">
        <is>
          <t>SeaBank: 13/09 14:50 Transfer Pembayaran Tokopedia Buku &amp; Keyboard Rp 280.000 Berhasil</t>
        </is>
      </c>
      <c r="F17" s="19" t="n">
        <v>280000</v>
      </c>
      <c r="G17" s="23" t="inlineStr">
        <is>
          <t>DB</t>
        </is>
      </c>
      <c r="H17" s="33" t="inlineStr">
        <is>
          <t>7694fc3956db0b6645212fe50f1b56afb18191959f952f69c406005f154c94fb</t>
        </is>
      </c>
      <c r="I17" s="32" t="inlineStr">
        <is>
          <t>PROCESSED</t>
        </is>
      </c>
      <c r="J17" s="16" t="inlineStr">
        <is>
          <t>TX-202609-015</t>
        </is>
      </c>
    </row>
    <row r="18" ht="20" customHeight="1">
      <c r="A18" s="16" t="inlineStr">
        <is>
          <t>RAW-20260914-016</t>
        </is>
      </c>
      <c r="B18" s="18" t="inlineStr">
        <is>
          <t>2026-09-14 16:30:29</t>
        </is>
      </c>
      <c r="C18" s="17" t="inlineStr">
        <is>
          <t>OVO</t>
        </is>
      </c>
      <c r="D18" s="18" t="inlineStr">
        <is>
          <t>PUSH_NOTIFICATION</t>
        </is>
      </c>
      <c r="E18" s="14" t="inlineStr">
        <is>
          <t>OVO Cash: 14/09 16:30 Transaksi QRIS Fore Coffee Menara Mandiri Rp 35.000 Berhasil</t>
        </is>
      </c>
      <c r="F18" s="19" t="n">
        <v>35000</v>
      </c>
      <c r="G18" s="23" t="inlineStr">
        <is>
          <t>DB</t>
        </is>
      </c>
      <c r="H18" s="33" t="inlineStr">
        <is>
          <t>800391ad052668109b571d6b0ceb9cb3e3e9f51476447800cbe22b44b49d42d4</t>
        </is>
      </c>
      <c r="I18" s="32" t="inlineStr">
        <is>
          <t>PROCESSED</t>
        </is>
      </c>
      <c r="J18" s="16" t="inlineStr">
        <is>
          <t>TX-202609-016</t>
        </is>
      </c>
    </row>
    <row r="19" ht="20" customHeight="1">
      <c r="A19" s="16" t="inlineStr">
        <is>
          <t>RAW-20260915-017</t>
        </is>
      </c>
      <c r="B19" s="18" t="inlineStr">
        <is>
          <t>2026-09-15 09:30:00</t>
        </is>
      </c>
      <c r="C19" s="17" t="inlineStr">
        <is>
          <t>BCA</t>
        </is>
      </c>
      <c r="D19" s="18" t="inlineStr">
        <is>
          <t>PUSH_NOTIFICATION</t>
        </is>
      </c>
      <c r="E19" s="14" t="inlineStr">
        <is>
          <t>m-Transfer: 15/09 09:30 TRSF KE RDN STOCKBIT BCA SEKURITAS Rp 2.500.000,00</t>
        </is>
      </c>
      <c r="F19" s="19" t="n">
        <v>2500000</v>
      </c>
      <c r="G19" s="23" t="inlineStr">
        <is>
          <t>DB</t>
        </is>
      </c>
      <c r="H19" s="33" t="inlineStr">
        <is>
          <t>b9937a5808fc86dd7b091c21a5ffb5097c886f89ea82568ddab4c1db8b7a22b6</t>
        </is>
      </c>
      <c r="I19" s="32" t="inlineStr">
        <is>
          <t>PROCESSED</t>
        </is>
      </c>
      <c r="J19" s="16" t="inlineStr">
        <is>
          <t>TX-202609-017</t>
        </is>
      </c>
    </row>
    <row r="20" ht="20" customHeight="1">
      <c r="A20" s="16" t="inlineStr">
        <is>
          <t>RAW-20260916-018</t>
        </is>
      </c>
      <c r="B20" s="18" t="inlineStr">
        <is>
          <t>2026-09-16 18:00:20</t>
        </is>
      </c>
      <c r="C20" s="17" t="inlineStr">
        <is>
          <t>Bank Jago</t>
        </is>
      </c>
      <c r="D20" s="18" t="inlineStr">
        <is>
          <t>PUSH_NOTIFICATION</t>
        </is>
      </c>
      <c r="E20" s="14" t="inlineStr">
        <is>
          <t>Bank Jago: 16/09 18:00 Uang Masuk dari PT Kreasi Digital Konsultasi UI/UX Rp 4.500.000</t>
        </is>
      </c>
      <c r="F20" s="19" t="n">
        <v>4500000</v>
      </c>
      <c r="G20" s="32" t="inlineStr">
        <is>
          <t>CR</t>
        </is>
      </c>
      <c r="H20" s="33" t="inlineStr">
        <is>
          <t>5838b7d68ebc29f175ab943e7e6780f06116d6d7fb97289d1559c47c8d0740dd</t>
        </is>
      </c>
      <c r="I20" s="32" t="inlineStr">
        <is>
          <t>PROCESSED</t>
        </is>
      </c>
      <c r="J20" s="16" t="inlineStr">
        <is>
          <t>TX-202609-018</t>
        </is>
      </c>
    </row>
    <row r="21" ht="20" customHeight="1">
      <c r="A21" s="16" t="inlineStr">
        <is>
          <t>RAW-20260917-019</t>
        </is>
      </c>
      <c r="B21" s="18" t="inlineStr">
        <is>
          <t>2026-09-17 21:00:15</t>
        </is>
      </c>
      <c r="C21" s="17" t="inlineStr">
        <is>
          <t>SeaBank</t>
        </is>
      </c>
      <c r="D21" s="18" t="inlineStr">
        <is>
          <t>PUSH_NOTIFICATION</t>
        </is>
      </c>
      <c r="E21" s="14" t="inlineStr">
        <is>
          <t>SeaBank: 17/09 21:00 Alokasi Tabungan Kantong Dana Darurat SeaBank Rp 1.500.000 Berhasil</t>
        </is>
      </c>
      <c r="F21" s="19" t="n">
        <v>1500000</v>
      </c>
      <c r="G21" s="23" t="inlineStr">
        <is>
          <t>DB</t>
        </is>
      </c>
      <c r="H21" s="33" t="inlineStr">
        <is>
          <t>c9a9e63256c5ba29e2dd586611f72ea48bb89794c2b96410ab1108b81a8b2332</t>
        </is>
      </c>
      <c r="I21" s="32" t="inlineStr">
        <is>
          <t>PROCESSED</t>
        </is>
      </c>
      <c r="J21" s="16" t="inlineStr">
        <is>
          <t>TX-202609-019</t>
        </is>
      </c>
    </row>
    <row r="22" ht="20" customHeight="1">
      <c r="A22" s="16" t="inlineStr">
        <is>
          <t>RAW-20260918-020</t>
        </is>
      </c>
      <c r="B22" s="18" t="inlineStr">
        <is>
          <t>2026-09-18 11:45:00</t>
        </is>
      </c>
      <c r="C22" s="17" t="inlineStr">
        <is>
          <t>GoPay</t>
        </is>
      </c>
      <c r="D22" s="18" t="inlineStr">
        <is>
          <t>PUSH_NOTIFICATION</t>
        </is>
      </c>
      <c r="E22" s="14" t="inlineStr">
        <is>
          <t>GoPay: 18/09 11:45 Pembayaran QRIS Infaq Masjid Nurul Iman Rp 100.000 Berhasil</t>
        </is>
      </c>
      <c r="F22" s="19" t="n">
        <v>100000</v>
      </c>
      <c r="G22" s="23" t="inlineStr">
        <is>
          <t>DB</t>
        </is>
      </c>
      <c r="H22" s="33" t="inlineStr">
        <is>
          <t>65f092e491defb3a00a8dd0e38493885721f93e8536547dfc19fc2581c62975d</t>
        </is>
      </c>
      <c r="I22" s="32" t="inlineStr">
        <is>
          <t>PROCESSED</t>
        </is>
      </c>
      <c r="J22" s="16" t="inlineStr">
        <is>
          <t>TX-202609-020</t>
        </is>
      </c>
    </row>
  </sheetData>
  <mergeCells count="1">
    <mergeCell ref="A1:J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2"/>
  <sheetViews>
    <sheetView showGridLines="1" workbookViewId="0">
      <selection activeCell="A1" sqref="A1"/>
    </sheetView>
  </sheetViews>
  <sheetFormatPr baseColWidth="8" defaultRowHeight="15"/>
  <cols>
    <col width="16" customWidth="1" min="1" max="1"/>
    <col width="36" customWidth="1" min="2" max="2"/>
    <col width="16" customWidth="1" min="3" max="3"/>
    <col width="16" customWidth="1" min="4" max="4"/>
    <col width="22" customWidth="1" min="5" max="5"/>
    <col width="50" customWidth="1" min="6" max="6"/>
  </cols>
  <sheetData>
    <row r="1" ht="30" customHeight="1">
      <c r="A1" s="30" t="inlineStr">
        <is>
          <t>CATEGORIES — MASTER TAXONOMY &amp; 50/30/20 BUDGET DIMENSION</t>
        </is>
      </c>
    </row>
    <row r="2" ht="24" customHeight="1">
      <c r="A2" s="31" t="inlineStr">
        <is>
          <t>category_code</t>
        </is>
      </c>
      <c r="B2" s="31" t="inlineStr">
        <is>
          <t>category_name</t>
        </is>
      </c>
      <c r="C2" s="31" t="inlineStr">
        <is>
          <t>budget_bucket</t>
        </is>
      </c>
      <c r="D2" s="31" t="inlineStr">
        <is>
          <t>icon_tag</t>
        </is>
      </c>
      <c r="E2" s="31" t="inlineStr">
        <is>
          <t>monthly_budget_idr</t>
        </is>
      </c>
      <c r="F2" s="31" t="inlineStr">
        <is>
          <t>description</t>
        </is>
      </c>
    </row>
    <row r="3" ht="20" customHeight="1">
      <c r="A3" s="16" t="inlineStr">
        <is>
          <t>INC-01</t>
        </is>
      </c>
      <c r="B3" s="17" t="inlineStr">
        <is>
          <t>Salary &amp; Compensation</t>
        </is>
      </c>
      <c r="C3" s="32" t="inlineStr">
        <is>
          <t>Income</t>
        </is>
      </c>
      <c r="D3" s="18" t="inlineStr">
        <is>
          <t>💼 Payroll</t>
        </is>
      </c>
      <c r="E3" s="15" t="n">
        <v>0</v>
      </c>
      <c r="F3" s="14" t="inlineStr">
        <is>
          <t>Base monthly salary, corporate payroll bonus</t>
        </is>
      </c>
    </row>
    <row r="4" ht="20" customHeight="1">
      <c r="A4" s="16" t="inlineStr">
        <is>
          <t>INC-02</t>
        </is>
      </c>
      <c r="B4" s="17" t="inlineStr">
        <is>
          <t>Freelance &amp; Consulting</t>
        </is>
      </c>
      <c r="C4" s="32" t="inlineStr">
        <is>
          <t>Income</t>
        </is>
      </c>
      <c r="D4" s="18" t="inlineStr">
        <is>
          <t>💻 Project</t>
        </is>
      </c>
      <c r="E4" s="15" t="n">
        <v>0</v>
      </c>
      <c r="F4" s="14" t="inlineStr">
        <is>
          <t>Secondary gig income, consulting, advisory fees</t>
        </is>
      </c>
    </row>
    <row r="5" ht="20" customHeight="1">
      <c r="A5" s="16" t="inlineStr">
        <is>
          <t>INC-03</t>
        </is>
      </c>
      <c r="B5" s="17" t="inlineStr">
        <is>
          <t>Investment Returns</t>
        </is>
      </c>
      <c r="C5" s="32" t="inlineStr">
        <is>
          <t>Income</t>
        </is>
      </c>
      <c r="D5" s="18" t="inlineStr">
        <is>
          <t>📈 Passive</t>
        </is>
      </c>
      <c r="E5" s="15" t="n">
        <v>0</v>
      </c>
      <c r="F5" s="14" t="inlineStr">
        <is>
          <t>Stock dividends, p2p interest, crypto yield</t>
        </is>
      </c>
    </row>
    <row r="6" ht="20" customHeight="1">
      <c r="A6" s="16" t="inlineStr">
        <is>
          <t>INC-04</t>
        </is>
      </c>
      <c r="B6" s="17" t="inlineStr">
        <is>
          <t>Cashback &amp; Gifts</t>
        </is>
      </c>
      <c r="C6" s="32" t="inlineStr">
        <is>
          <t>Income</t>
        </is>
      </c>
      <c r="D6" s="18" t="inlineStr">
        <is>
          <t>🎁 Rebate</t>
        </is>
      </c>
      <c r="E6" s="15" t="n">
        <v>0</v>
      </c>
      <c r="F6" s="14" t="inlineStr">
        <is>
          <t>Marketplace cashback, cash prizes, gifts</t>
        </is>
      </c>
    </row>
    <row r="7" ht="20" customHeight="1">
      <c r="A7" s="16" t="inlineStr">
        <is>
          <t>NED-01</t>
        </is>
      </c>
      <c r="B7" s="17" t="inlineStr">
        <is>
          <t>Groceries &amp; Food Supplies</t>
        </is>
      </c>
      <c r="C7" s="23" t="inlineStr">
        <is>
          <t>Needs</t>
        </is>
      </c>
      <c r="D7" s="18" t="inlineStr">
        <is>
          <t>🛒 Groceries</t>
        </is>
      </c>
      <c r="E7" s="15" t="n">
        <v>3000000</v>
      </c>
      <c r="F7" s="14" t="inlineStr">
        <is>
          <t>Supermarket, Indomaret Fresh, food provisions</t>
        </is>
      </c>
    </row>
    <row r="8" ht="20" customHeight="1">
      <c r="A8" s="16" t="inlineStr">
        <is>
          <t>NED-02</t>
        </is>
      </c>
      <c r="B8" s="17" t="inlineStr">
        <is>
          <t>Utilities &amp; Bills (PLN, Water, Net)</t>
        </is>
      </c>
      <c r="C8" s="23" t="inlineStr">
        <is>
          <t>Needs</t>
        </is>
      </c>
      <c r="D8" s="18" t="inlineStr">
        <is>
          <t>⚡ Utilities</t>
        </is>
      </c>
      <c r="E8" s="15" t="n">
        <v>1500000</v>
      </c>
      <c r="F8" s="14" t="inlineStr">
        <is>
          <t>PLN electricity, PDAM, Indihome, Biznet, Telkomsel</t>
        </is>
      </c>
    </row>
    <row r="9" ht="20" customHeight="1">
      <c r="A9" s="16" t="inlineStr">
        <is>
          <t>NED-03</t>
        </is>
      </c>
      <c r="B9" s="17" t="inlineStr">
        <is>
          <t>Housing &amp; Maintenance</t>
        </is>
      </c>
      <c r="C9" s="23" t="inlineStr">
        <is>
          <t>Needs</t>
        </is>
      </c>
      <c r="D9" s="18" t="inlineStr">
        <is>
          <t>🏠 Housing</t>
        </is>
      </c>
      <c r="E9" s="15" t="n">
        <v>5000000</v>
      </c>
      <c r="F9" s="14" t="inlineStr">
        <is>
          <t>Apartment/kost rental, maintenance, IPL fees</t>
        </is>
      </c>
    </row>
    <row r="10" ht="20" customHeight="1">
      <c r="A10" s="16" t="inlineStr">
        <is>
          <t>NED-04</t>
        </is>
      </c>
      <c r="B10" s="17" t="inlineStr">
        <is>
          <t>Transportation &amp; Commute</t>
        </is>
      </c>
      <c r="C10" s="23" t="inlineStr">
        <is>
          <t>Needs</t>
        </is>
      </c>
      <c r="D10" s="18" t="inlineStr">
        <is>
          <t>🚗 Commute</t>
        </is>
      </c>
      <c r="E10" s="15" t="n">
        <v>1200000</v>
      </c>
      <c r="F10" s="14" t="inlineStr">
        <is>
          <t>Bensin Pertamax/Shell, Tol, KRL, Grab/Gojek commute</t>
        </is>
      </c>
    </row>
    <row r="11" ht="20" customHeight="1">
      <c r="A11" s="16" t="inlineStr">
        <is>
          <t>NED-05</t>
        </is>
      </c>
      <c r="B11" s="17" t="inlineStr">
        <is>
          <t>Healthcare &amp; Pharmacy</t>
        </is>
      </c>
      <c r="C11" s="23" t="inlineStr">
        <is>
          <t>Needs</t>
        </is>
      </c>
      <c r="D11" s="18" t="inlineStr">
        <is>
          <t>🏥 Medical</t>
        </is>
      </c>
      <c r="E11" s="15" t="n">
        <v>800000</v>
      </c>
      <c r="F11" s="14" t="inlineStr">
        <is>
          <t>BPJS, insurance, pharmacy prescriptions, vitamins</t>
        </is>
      </c>
    </row>
    <row r="12" ht="20" customHeight="1">
      <c r="A12" s="16" t="inlineStr">
        <is>
          <t>NED-06</t>
        </is>
      </c>
      <c r="B12" s="17" t="inlineStr">
        <is>
          <t>Family Support &amp; Charity</t>
        </is>
      </c>
      <c r="C12" s="23" t="inlineStr">
        <is>
          <t>Needs</t>
        </is>
      </c>
      <c r="D12" s="18" t="inlineStr">
        <is>
          <t>🤲 Social</t>
        </is>
      </c>
      <c r="E12" s="15" t="n">
        <v>1000000</v>
      </c>
      <c r="F12" s="14" t="inlineStr">
        <is>
          <t>Family allowances, Zakat, regular infaq</t>
        </is>
      </c>
    </row>
    <row r="13" ht="20" customHeight="1">
      <c r="A13" s="16" t="inlineStr">
        <is>
          <t>WNT-01</t>
        </is>
      </c>
      <c r="B13" s="17" t="inlineStr">
        <is>
          <t>Dining Out &amp; Cafes</t>
        </is>
      </c>
      <c r="C13" s="25" t="inlineStr">
        <is>
          <t>Wants</t>
        </is>
      </c>
      <c r="D13" s="18" t="inlineStr">
        <is>
          <t>☕ F&amp;B</t>
        </is>
      </c>
      <c r="E13" s="15" t="n">
        <v>1500000</v>
      </c>
      <c r="F13" s="14" t="inlineStr">
        <is>
          <t>Coffee shops, restaurants, casual eat-outs</t>
        </is>
      </c>
    </row>
    <row r="14" ht="20" customHeight="1">
      <c r="A14" s="16" t="inlineStr">
        <is>
          <t>WNT-02</t>
        </is>
      </c>
      <c r="B14" s="17" t="inlineStr">
        <is>
          <t>Entertainment &amp; Subscriptions</t>
        </is>
      </c>
      <c r="C14" s="25" t="inlineStr">
        <is>
          <t>Wants</t>
        </is>
      </c>
      <c r="D14" s="18" t="inlineStr">
        <is>
          <t>🍿 Media</t>
        </is>
      </c>
      <c r="E14" s="15" t="n">
        <v>500000</v>
      </c>
      <c r="F14" s="14" t="inlineStr">
        <is>
          <t>Netflix, Spotify, YouTube, ChatGPT, games</t>
        </is>
      </c>
    </row>
    <row r="15" ht="20" customHeight="1">
      <c r="A15" s="16" t="inlineStr">
        <is>
          <t>WNT-03</t>
        </is>
      </c>
      <c r="B15" s="17" t="inlineStr">
        <is>
          <t>Shopping &amp; Retail</t>
        </is>
      </c>
      <c r="C15" s="25" t="inlineStr">
        <is>
          <t>Wants</t>
        </is>
      </c>
      <c r="D15" s="18" t="inlineStr">
        <is>
          <t>🛍️ Retail</t>
        </is>
      </c>
      <c r="E15" s="15" t="n">
        <v>1500000</v>
      </c>
      <c r="F15" s="14" t="inlineStr">
        <is>
          <t>Tokopedia, Shopee, clothing, electronics</t>
        </is>
      </c>
    </row>
    <row r="16" ht="20" customHeight="1">
      <c r="A16" s="16" t="inlineStr">
        <is>
          <t>WNT-04</t>
        </is>
      </c>
      <c r="B16" s="17" t="inlineStr">
        <is>
          <t>Hobbies &amp; Recreation</t>
        </is>
      </c>
      <c r="C16" s="25" t="inlineStr">
        <is>
          <t>Wants</t>
        </is>
      </c>
      <c r="D16" s="18" t="inlineStr">
        <is>
          <t>✈️ Leisure</t>
        </is>
      </c>
      <c r="E16" s="15" t="n">
        <v>1000000</v>
      </c>
      <c r="F16" s="14" t="inlineStr">
        <is>
          <t>Weekend trips, gym membership, sports, hobbies</t>
        </is>
      </c>
    </row>
    <row r="17" ht="20" customHeight="1">
      <c r="A17" s="16" t="inlineStr">
        <is>
          <t>WNT-05</t>
        </is>
      </c>
      <c r="B17" s="17" t="inlineStr">
        <is>
          <t>Personal Care &amp; Grooming</t>
        </is>
      </c>
      <c r="C17" s="25" t="inlineStr">
        <is>
          <t>Wants</t>
        </is>
      </c>
      <c r="D17" s="18" t="inlineStr">
        <is>
          <t>💈 Salon</t>
        </is>
      </c>
      <c r="E17" s="15" t="n">
        <v>500000</v>
      </c>
      <c r="F17" s="14" t="inlineStr">
        <is>
          <t>Barbershop, skincare, spa, self-care</t>
        </is>
      </c>
    </row>
    <row r="18" ht="20" customHeight="1">
      <c r="A18" s="16" t="inlineStr">
        <is>
          <t>SAV-01</t>
        </is>
      </c>
      <c r="B18" s="17" t="inlineStr">
        <is>
          <t>Emergency Fund Reserve</t>
        </is>
      </c>
      <c r="C18" s="29" t="inlineStr">
        <is>
          <t>Savings</t>
        </is>
      </c>
      <c r="D18" s="18" t="inlineStr">
        <is>
          <t>🛡️ Reserve</t>
        </is>
      </c>
      <c r="E18" s="15" t="n">
        <v>2000000</v>
      </c>
      <c r="F18" s="14" t="inlineStr">
        <is>
          <t>Liquid high yield deposits (SeaBank, Jago)</t>
        </is>
      </c>
    </row>
    <row r="19" ht="20" customHeight="1">
      <c r="A19" s="16" t="inlineStr">
        <is>
          <t>SAV-02</t>
        </is>
      </c>
      <c r="B19" s="17" t="inlineStr">
        <is>
          <t>Mutual Funds &amp; Stocks</t>
        </is>
      </c>
      <c r="C19" s="29" t="inlineStr">
        <is>
          <t>Savings</t>
        </is>
      </c>
      <c r="D19" s="18" t="inlineStr">
        <is>
          <t>📊 Equity</t>
        </is>
      </c>
      <c r="E19" s="15" t="n">
        <v>3000000</v>
      </c>
      <c r="F19" s="14" t="inlineStr">
        <is>
          <t>Reksadana Indeks Bibit, Saham Stockbit IHSG</t>
        </is>
      </c>
    </row>
    <row r="20" ht="20" customHeight="1">
      <c r="A20" s="16" t="inlineStr">
        <is>
          <t>SAV-03</t>
        </is>
      </c>
      <c r="B20" s="17" t="inlineStr">
        <is>
          <t>Crypto &amp; Digital Assets</t>
        </is>
      </c>
      <c r="C20" s="29" t="inlineStr">
        <is>
          <t>Savings</t>
        </is>
      </c>
      <c r="D20" s="18" t="inlineStr">
        <is>
          <t>🪙 Crypto</t>
        </is>
      </c>
      <c r="E20" s="15" t="n">
        <v>1000000</v>
      </c>
      <c r="F20" s="14" t="inlineStr">
        <is>
          <t>Bitcoin (BTC) &amp; Ethereum (ETH) long-term DCA</t>
        </is>
      </c>
    </row>
    <row r="21" ht="20" customHeight="1">
      <c r="A21" s="16" t="inlineStr">
        <is>
          <t>SAV-04</t>
        </is>
      </c>
      <c r="B21" s="17" t="inlineStr">
        <is>
          <t>Government Bonds &amp; Gold</t>
        </is>
      </c>
      <c r="C21" s="29" t="inlineStr">
        <is>
          <t>Savings</t>
        </is>
      </c>
      <c r="D21" s="18" t="inlineStr">
        <is>
          <t>🥇 Gold/Bond</t>
        </is>
      </c>
      <c r="E21" s="15" t="n">
        <v>1000000</v>
      </c>
      <c r="F21" s="14" t="inlineStr">
        <is>
          <t>SBN, Sukuk, Antam gold via Pluang/Pegadaian</t>
        </is>
      </c>
    </row>
    <row r="22" ht="20" customHeight="1">
      <c r="A22" s="16" t="inlineStr">
        <is>
          <t>TRF-01</t>
        </is>
      </c>
      <c r="B22" s="17" t="inlineStr">
        <is>
          <t>Internal Account Transfer</t>
        </is>
      </c>
      <c r="C22" s="3" t="inlineStr">
        <is>
          <t>Transfer</t>
        </is>
      </c>
      <c r="D22" s="18" t="inlineStr">
        <is>
          <t>🔄 Transfer</t>
        </is>
      </c>
      <c r="E22" s="15" t="n">
        <v>0</v>
      </c>
      <c r="F22" s="14" t="inlineStr">
        <is>
          <t>Inter-account rebalancing, wallet top up</t>
        </is>
      </c>
    </row>
  </sheetData>
  <mergeCells count="1">
    <mergeCell ref="A1:F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22"/>
  <sheetViews>
    <sheetView showGridLines="1" workbookViewId="0">
      <selection activeCell="A1" sqref="A1"/>
    </sheetView>
  </sheetViews>
  <sheetFormatPr baseColWidth="8" defaultRowHeight="15"/>
  <cols>
    <col width="16" customWidth="1" min="1" max="1"/>
    <col width="14" customWidth="1" min="2" max="2"/>
    <col width="12" customWidth="1" min="3" max="3"/>
    <col width="16" customWidth="1" min="4" max="4"/>
    <col width="32" customWidth="1" min="5" max="5"/>
    <col width="14" customWidth="1" min="6" max="6"/>
    <col width="34" customWidth="1" min="7" max="7"/>
    <col width="18" customWidth="1" min="8" max="8"/>
    <col width="18" customWidth="1" min="9" max="9"/>
    <col width="45" customWidth="1" min="10" max="10"/>
    <col width="16" customWidth="1" min="11" max="11"/>
    <col width="18" customWidth="1" min="12" max="12"/>
    <col width="16" customWidth="1" min="13" max="13"/>
  </cols>
  <sheetData>
    <row r="1" ht="30" customHeight="1">
      <c r="A1" s="30" t="inlineStr">
        <is>
          <t>LEDGER_CLEAN — SILVER CONFORMED DOUBLE-ENTRY TRANSACTION JOURNAL</t>
        </is>
      </c>
    </row>
    <row r="2" ht="24" customHeight="1">
      <c r="A2" s="31" t="inlineStr">
        <is>
          <t>transaction_id</t>
        </is>
      </c>
      <c r="B2" s="31" t="inlineStr">
        <is>
          <t>date</t>
        </is>
      </c>
      <c r="C2" s="31" t="inlineStr">
        <is>
          <t>time</t>
        </is>
      </c>
      <c r="D2" s="31" t="inlineStr">
        <is>
          <t>source_account</t>
        </is>
      </c>
      <c r="E2" s="31" t="inlineStr">
        <is>
          <t>destination_merchant</t>
        </is>
      </c>
      <c r="F2" s="31" t="inlineStr">
        <is>
          <t>type</t>
        </is>
      </c>
      <c r="G2" s="31" t="inlineStr">
        <is>
          <t>category</t>
        </is>
      </c>
      <c r="H2" s="31" t="inlineStr">
        <is>
          <t>budget_bucket</t>
        </is>
      </c>
      <c r="I2" s="31" t="inlineStr">
        <is>
          <t>amount</t>
        </is>
      </c>
      <c r="J2" s="31" t="inlineStr">
        <is>
          <t>notes</t>
        </is>
      </c>
      <c r="K2" s="31" t="inlineStr">
        <is>
          <t>payment_method</t>
        </is>
      </c>
      <c r="L2" s="31" t="inlineStr">
        <is>
          <t>raw_ref_id</t>
        </is>
      </c>
      <c r="M2" s="31" t="inlineStr">
        <is>
          <t>status</t>
        </is>
      </c>
    </row>
    <row r="3" ht="20" customHeight="1">
      <c r="A3" s="16" t="inlineStr">
        <is>
          <t>TX-202609-001</t>
        </is>
      </c>
      <c r="B3" s="34" t="n">
        <v>46266</v>
      </c>
      <c r="C3" s="35" t="n">
        <v>0.3013888888888889</v>
      </c>
      <c r="D3" s="17" t="inlineStr">
        <is>
          <t>BCA</t>
        </is>
      </c>
      <c r="E3" s="14" t="inlineStr">
        <is>
          <t>PT Tech Nusantara</t>
        </is>
      </c>
      <c r="F3" s="32" t="inlineStr">
        <is>
          <t>INCOME</t>
        </is>
      </c>
      <c r="G3" s="14" t="inlineStr">
        <is>
          <t>Salary &amp; Compensation</t>
        </is>
      </c>
      <c r="H3" s="16">
        <f>IFERROR(INDEX(Categories!$C$3:$C$22,MATCH(G3,Categories!$B$3:$B$22,0)),"Uncategorized")</f>
        <v/>
      </c>
      <c r="I3" s="19" t="n">
        <v>25000000</v>
      </c>
      <c r="J3" s="14" t="inlineStr">
        <is>
          <t>Gaji Payroll Bulanan September 2026</t>
        </is>
      </c>
      <c r="K3" s="18" t="inlineStr">
        <is>
          <t>TRANSFER</t>
        </is>
      </c>
      <c r="L3" s="18" t="inlineStr">
        <is>
          <t>RAW-20260901-001</t>
        </is>
      </c>
      <c r="M3" s="32" t="inlineStr">
        <is>
          <t>VERIFIED</t>
        </is>
      </c>
    </row>
    <row r="4" ht="20" customHeight="1">
      <c r="A4" s="16" t="inlineStr">
        <is>
          <t>TX-202609-002</t>
        </is>
      </c>
      <c r="B4" s="34" t="n">
        <v>46266</v>
      </c>
      <c r="C4" s="35" t="n">
        <v>0.4376736111111111</v>
      </c>
      <c r="D4" s="17" t="inlineStr">
        <is>
          <t>BCA</t>
        </is>
      </c>
      <c r="E4" s="14" t="inlineStr">
        <is>
          <t>GoPay</t>
        </is>
      </c>
      <c r="F4" s="3" t="inlineStr">
        <is>
          <t>TRANSFER</t>
        </is>
      </c>
      <c r="G4" s="14" t="inlineStr">
        <is>
          <t>Internal Account Transfer</t>
        </is>
      </c>
      <c r="H4" s="16">
        <f>IFERROR(INDEX(Categories!$C$3:$C$22,MATCH(G4,Categories!$B$3:$B$22,0)),"Uncategorized")</f>
        <v/>
      </c>
      <c r="I4" s="19" t="n">
        <v>1000000</v>
      </c>
      <c r="J4" s="14" t="inlineStr">
        <is>
          <t>Top up saldo operasional harian GoPay</t>
        </is>
      </c>
      <c r="K4" s="18" t="inlineStr">
        <is>
          <t>TRANSFER</t>
        </is>
      </c>
      <c r="L4" s="18" t="inlineStr">
        <is>
          <t>RAW-20260901-002</t>
        </is>
      </c>
      <c r="M4" s="32" t="inlineStr">
        <is>
          <t>VERIFIED</t>
        </is>
      </c>
    </row>
    <row r="5" ht="20" customHeight="1">
      <c r="A5" s="16" t="inlineStr">
        <is>
          <t>TX-202609-003</t>
        </is>
      </c>
      <c r="B5" s="34" t="n">
        <v>46267</v>
      </c>
      <c r="C5" s="35" t="n">
        <v>0.5940972222222223</v>
      </c>
      <c r="D5" s="17" t="inlineStr">
        <is>
          <t>Mandiri</t>
        </is>
      </c>
      <c r="E5" s="14" t="inlineStr">
        <is>
          <t>PLN Pascabayar</t>
        </is>
      </c>
      <c r="F5" s="25" t="inlineStr">
        <is>
          <t>EXPENSE</t>
        </is>
      </c>
      <c r="G5" s="14" t="inlineStr">
        <is>
          <t>Utilities &amp; Bills (PLN, Water, Net)</t>
        </is>
      </c>
      <c r="H5" s="16">
        <f>IFERROR(INDEX(Categories!$C$3:$C$22,MATCH(G5,Categories!$B$3:$B$22,0)),"Uncategorized")</f>
        <v/>
      </c>
      <c r="I5" s="19" t="n">
        <v>850000</v>
      </c>
      <c r="J5" s="14" t="inlineStr">
        <is>
          <t>Tagihan listrik rumah September 2026</t>
        </is>
      </c>
      <c r="K5" s="18" t="inlineStr">
        <is>
          <t>TRANSFER</t>
        </is>
      </c>
      <c r="L5" s="18" t="inlineStr">
        <is>
          <t>RAW-20260902-003</t>
        </is>
      </c>
      <c r="M5" s="32" t="inlineStr">
        <is>
          <t>VERIFIED</t>
        </is>
      </c>
    </row>
    <row r="6" ht="20" customHeight="1">
      <c r="A6" s="16" t="inlineStr">
        <is>
          <t>TX-202609-004</t>
        </is>
      </c>
      <c r="B6" s="34" t="n">
        <v>46267</v>
      </c>
      <c r="C6" s="35" t="n">
        <v>0.8056134259259259</v>
      </c>
      <c r="D6" s="17" t="inlineStr">
        <is>
          <t>BCA</t>
        </is>
      </c>
      <c r="E6" s="14" t="inlineStr">
        <is>
          <t>Indihome Internet</t>
        </is>
      </c>
      <c r="F6" s="25" t="inlineStr">
        <is>
          <t>EXPENSE</t>
        </is>
      </c>
      <c r="G6" s="14" t="inlineStr">
        <is>
          <t>Utilities &amp; Bills (PLN, Water, Net)</t>
        </is>
      </c>
      <c r="H6" s="16">
        <f>IFERROR(INDEX(Categories!$C$3:$C$22,MATCH(G6,Categories!$B$3:$B$22,0)),"Uncategorized")</f>
        <v/>
      </c>
      <c r="I6" s="19" t="n">
        <v>450000</v>
      </c>
      <c r="J6" s="14" t="inlineStr">
        <is>
          <t>Tagihan internet fiber optical 50 Mbps</t>
        </is>
      </c>
      <c r="K6" s="18" t="inlineStr">
        <is>
          <t>AUTODEBET</t>
        </is>
      </c>
      <c r="L6" s="18" t="inlineStr">
        <is>
          <t>RAW-20260902-004</t>
        </is>
      </c>
      <c r="M6" s="32" t="inlineStr">
        <is>
          <t>VERIFIED</t>
        </is>
      </c>
    </row>
    <row r="7" ht="20" customHeight="1">
      <c r="A7" s="16" t="inlineStr">
        <is>
          <t>TX-202609-005</t>
        </is>
      </c>
      <c r="B7" s="34" t="n">
        <v>46268</v>
      </c>
      <c r="C7" s="35" t="n">
        <v>0.6980324074074075</v>
      </c>
      <c r="D7" s="17" t="inlineStr">
        <is>
          <t>BCA</t>
        </is>
      </c>
      <c r="E7" s="14" t="inlineStr">
        <is>
          <t>Indomaret Fresh TB Simatupang</t>
        </is>
      </c>
      <c r="F7" s="25" t="inlineStr">
        <is>
          <t>EXPENSE</t>
        </is>
      </c>
      <c r="G7" s="14" t="inlineStr">
        <is>
          <t>Groceries &amp; Food Supplies</t>
        </is>
      </c>
      <c r="H7" s="16">
        <f>IFERROR(INDEX(Categories!$C$3:$C$22,MATCH(G7,Categories!$B$3:$B$22,0)),"Uncategorized")</f>
        <v/>
      </c>
      <c r="I7" s="19" t="n">
        <v>1450000</v>
      </c>
      <c r="J7" s="14" t="inlineStr">
        <is>
          <t>Belanja mingguan bahan makanan &amp; buah</t>
        </is>
      </c>
      <c r="K7" s="18" t="inlineStr">
        <is>
          <t>DEBIT</t>
        </is>
      </c>
      <c r="L7" s="18" t="inlineStr">
        <is>
          <t>RAW-20260903-005</t>
        </is>
      </c>
      <c r="M7" s="32" t="inlineStr">
        <is>
          <t>VERIFIED</t>
        </is>
      </c>
    </row>
    <row r="8" ht="20" customHeight="1">
      <c r="A8" s="16" t="inlineStr">
        <is>
          <t>TX-202609-006</t>
        </is>
      </c>
      <c r="B8" s="34" t="n">
        <v>46269</v>
      </c>
      <c r="C8" s="35" t="n">
        <v>0.3838425925925926</v>
      </c>
      <c r="D8" s="17" t="inlineStr">
        <is>
          <t>GoPay</t>
        </is>
      </c>
      <c r="E8" s="14" t="inlineStr">
        <is>
          <t>Kopi Kenangan Menara Astra</t>
        </is>
      </c>
      <c r="F8" s="25" t="inlineStr">
        <is>
          <t>EXPENSE</t>
        </is>
      </c>
      <c r="G8" s="14" t="inlineStr">
        <is>
          <t>Dining Out &amp; Cafes</t>
        </is>
      </c>
      <c r="H8" s="16">
        <f>IFERROR(INDEX(Categories!$C$3:$C$22,MATCH(G8,Categories!$B$3:$B$22,0)),"Uncategorized")</f>
        <v/>
      </c>
      <c r="I8" s="19" t="n">
        <v>48000</v>
      </c>
      <c r="J8" s="14" t="inlineStr">
        <is>
          <t>2x Kopi Kenangan Mantan Large QRIS</t>
        </is>
      </c>
      <c r="K8" s="18" t="inlineStr">
        <is>
          <t>QRIS</t>
        </is>
      </c>
      <c r="L8" s="18" t="inlineStr">
        <is>
          <t>RAW-20260904-006</t>
        </is>
      </c>
      <c r="M8" s="32" t="inlineStr">
        <is>
          <t>VERIFIED</t>
        </is>
      </c>
    </row>
    <row r="9" ht="20" customHeight="1">
      <c r="A9" s="16" t="inlineStr">
        <is>
          <t>TX-202609-007</t>
        </is>
      </c>
      <c r="B9" s="34" t="n">
        <v>46270</v>
      </c>
      <c r="C9" s="35" t="n">
        <v>0.3543055555555555</v>
      </c>
      <c r="D9" s="17" t="inlineStr">
        <is>
          <t>GoPay</t>
        </is>
      </c>
      <c r="E9" s="14" t="inlineStr">
        <is>
          <t>Gojek Transport</t>
        </is>
      </c>
      <c r="F9" s="25" t="inlineStr">
        <is>
          <t>EXPENSE</t>
        </is>
      </c>
      <c r="G9" s="14" t="inlineStr">
        <is>
          <t>Transportation &amp; Commute</t>
        </is>
      </c>
      <c r="H9" s="16">
        <f>IFERROR(INDEX(Categories!$C$3:$C$22,MATCH(G9,Categories!$B$3:$B$22,0)),"Uncategorized")</f>
        <v/>
      </c>
      <c r="I9" s="19" t="n">
        <v>65000</v>
      </c>
      <c r="J9" s="14" t="inlineStr">
        <is>
          <t>GoCar transport kantor SCBD meeting</t>
        </is>
      </c>
      <c r="K9" s="18" t="inlineStr">
        <is>
          <t>E_WALLET</t>
        </is>
      </c>
      <c r="L9" s="18" t="inlineStr">
        <is>
          <t>RAW-20260905-007</t>
        </is>
      </c>
      <c r="M9" s="32" t="inlineStr">
        <is>
          <t>VERIFIED</t>
        </is>
      </c>
    </row>
    <row r="10" ht="20" customHeight="1">
      <c r="A10" s="16" t="inlineStr">
        <is>
          <t>TX-202609-008</t>
        </is>
      </c>
      <c r="B10" s="34" t="n">
        <v>46271</v>
      </c>
      <c r="C10" s="35" t="n">
        <v>0.5248842592592593</v>
      </c>
      <c r="D10" s="17" t="inlineStr">
        <is>
          <t>ShopeePay</t>
        </is>
      </c>
      <c r="E10" s="14" t="inlineStr">
        <is>
          <t>Restoran Sederhana Padang</t>
        </is>
      </c>
      <c r="F10" s="25" t="inlineStr">
        <is>
          <t>EXPENSE</t>
        </is>
      </c>
      <c r="G10" s="14" t="inlineStr">
        <is>
          <t>Groceries &amp; Food Supplies</t>
        </is>
      </c>
      <c r="H10" s="16">
        <f>IFERROR(INDEX(Categories!$C$3:$C$22,MATCH(G10,Categories!$B$3:$B$22,0)),"Uncategorized")</f>
        <v/>
      </c>
      <c r="I10" s="19" t="n">
        <v>45000</v>
      </c>
      <c r="J10" s="14" t="inlineStr">
        <is>
          <t>Makan siang rendang &amp; perkedel QRIS</t>
        </is>
      </c>
      <c r="K10" s="18" t="inlineStr">
        <is>
          <t>QRIS</t>
        </is>
      </c>
      <c r="L10" s="18" t="inlineStr">
        <is>
          <t>RAW-20260906-008</t>
        </is>
      </c>
      <c r="M10" s="32" t="inlineStr">
        <is>
          <t>VERIFIED</t>
        </is>
      </c>
    </row>
    <row r="11" ht="20" customHeight="1">
      <c r="A11" s="16" t="inlineStr">
        <is>
          <t>TX-202609-009</t>
        </is>
      </c>
      <c r="B11" s="34" t="n">
        <v>46272</v>
      </c>
      <c r="C11" s="35" t="n">
        <v>0.7222222222222222</v>
      </c>
      <c r="D11" s="17" t="inlineStr">
        <is>
          <t>Cash</t>
        </is>
      </c>
      <c r="E11" s="14" t="inlineStr">
        <is>
          <t>Apotek Kimia Farma</t>
        </is>
      </c>
      <c r="F11" s="25" t="inlineStr">
        <is>
          <t>EXPENSE</t>
        </is>
      </c>
      <c r="G11" s="14" t="inlineStr">
        <is>
          <t>Healthcare &amp; Pharmacy</t>
        </is>
      </c>
      <c r="H11" s="16">
        <f>IFERROR(INDEX(Categories!$C$3:$C$22,MATCH(G11,Categories!$B$3:$B$22,0)),"Uncategorized")</f>
        <v/>
      </c>
      <c r="I11" s="19" t="n">
        <v>175000</v>
      </c>
      <c r="J11" s="14" t="inlineStr">
        <is>
          <t>Beli suplemen vitamin C &amp; obat flu</t>
        </is>
      </c>
      <c r="K11" s="18" t="inlineStr">
        <is>
          <t>CASH</t>
        </is>
      </c>
      <c r="L11" s="18" t="inlineStr">
        <is>
          <t>RAW-20260907-009</t>
        </is>
      </c>
      <c r="M11" s="32" t="inlineStr">
        <is>
          <t>VERIFIED</t>
        </is>
      </c>
    </row>
    <row r="12" ht="20" customHeight="1">
      <c r="A12" s="16" t="inlineStr">
        <is>
          <t>TX-202609-010</t>
        </is>
      </c>
      <c r="B12" s="34" t="n">
        <v>46273</v>
      </c>
      <c r="C12" s="35" t="n">
        <v>0.1252083333333333</v>
      </c>
      <c r="D12" s="17" t="inlineStr">
        <is>
          <t>Bank Jago</t>
        </is>
      </c>
      <c r="E12" s="14" t="inlineStr">
        <is>
          <t>Netflix Premium Indonesia</t>
        </is>
      </c>
      <c r="F12" s="25" t="inlineStr">
        <is>
          <t>EXPENSE</t>
        </is>
      </c>
      <c r="G12" s="14" t="inlineStr">
        <is>
          <t>Entertainment &amp; Subscriptions</t>
        </is>
      </c>
      <c r="H12" s="16">
        <f>IFERROR(INDEX(Categories!$C$3:$C$22,MATCH(G12,Categories!$B$3:$B$22,0)),"Uncategorized")</f>
        <v/>
      </c>
      <c r="I12" s="19" t="n">
        <v>186000</v>
      </c>
      <c r="J12" s="14" t="inlineStr">
        <is>
          <t>Langganan bulanan 4K family plan</t>
        </is>
      </c>
      <c r="K12" s="18" t="inlineStr">
        <is>
          <t>DEBIT</t>
        </is>
      </c>
      <c r="L12" s="18" t="inlineStr">
        <is>
          <t>RAW-20260908-010</t>
        </is>
      </c>
      <c r="M12" s="32" t="inlineStr">
        <is>
          <t>VERIFIED</t>
        </is>
      </c>
    </row>
    <row r="13" ht="20" customHeight="1">
      <c r="A13" s="16" t="inlineStr">
        <is>
          <t>TX-202609-011</t>
        </is>
      </c>
      <c r="B13" s="34" t="n">
        <v>46274</v>
      </c>
      <c r="C13" s="35" t="n">
        <v>0.6530324074074074</v>
      </c>
      <c r="D13" s="17" t="inlineStr">
        <is>
          <t>DANA</t>
        </is>
      </c>
      <c r="E13" s="14" t="inlineStr">
        <is>
          <t>Indomaret Point</t>
        </is>
      </c>
      <c r="F13" s="25" t="inlineStr">
        <is>
          <t>EXPENSE</t>
        </is>
      </c>
      <c r="G13" s="14" t="inlineStr">
        <is>
          <t>Dining Out &amp; Cafes</t>
        </is>
      </c>
      <c r="H13" s="16">
        <f>IFERROR(INDEX(Categories!$C$3:$C$22,MATCH(G13,Categories!$B$3:$B$22,0)),"Uncategorized")</f>
        <v/>
      </c>
      <c r="I13" s="19" t="n">
        <v>54000</v>
      </c>
      <c r="J13" s="14" t="inlineStr">
        <is>
          <t>Beli camilan sore &amp; minuman dingin</t>
        </is>
      </c>
      <c r="K13" s="18" t="inlineStr">
        <is>
          <t>QRIS</t>
        </is>
      </c>
      <c r="L13" s="18" t="inlineStr">
        <is>
          <t>RAW-20260909-011</t>
        </is>
      </c>
      <c r="M13" s="32" t="inlineStr">
        <is>
          <t>VERIFIED</t>
        </is>
      </c>
    </row>
    <row r="14" ht="20" customHeight="1">
      <c r="A14" s="16" t="inlineStr">
        <is>
          <t>TX-202609-012</t>
        </is>
      </c>
      <c r="B14" s="34" t="n">
        <v>46275</v>
      </c>
      <c r="C14" s="35" t="n">
        <v>0.4583333333333333</v>
      </c>
      <c r="D14" s="17" t="inlineStr">
        <is>
          <t>Bank Jago</t>
        </is>
      </c>
      <c r="E14" s="14" t="inlineStr">
        <is>
          <t>Bibit Reksadana</t>
        </is>
      </c>
      <c r="F14" s="25" t="inlineStr">
        <is>
          <t>EXPENSE</t>
        </is>
      </c>
      <c r="G14" s="14" t="inlineStr">
        <is>
          <t>Mutual Funds &amp; Stocks</t>
        </is>
      </c>
      <c r="H14" s="16">
        <f>IFERROR(INDEX(Categories!$C$3:$C$22,MATCH(G14,Categories!$B$3:$B$22,0)),"Uncategorized")</f>
        <v/>
      </c>
      <c r="I14" s="19" t="n">
        <v>3000000</v>
      </c>
      <c r="J14" s="14" t="inlineStr">
        <is>
          <t>DCA rutin reksadana indeks saham BNI-AM30</t>
        </is>
      </c>
      <c r="K14" s="18" t="inlineStr">
        <is>
          <t>TRANSFER</t>
        </is>
      </c>
      <c r="L14" s="18" t="inlineStr">
        <is>
          <t>RAW-20260910-012</t>
        </is>
      </c>
      <c r="M14" s="32" t="inlineStr">
        <is>
          <t>VERIFIED</t>
        </is>
      </c>
    </row>
    <row r="15" ht="20" customHeight="1">
      <c r="A15" s="16" t="inlineStr">
        <is>
          <t>TX-202609-013</t>
        </is>
      </c>
      <c r="B15" s="34" t="n">
        <v>46276</v>
      </c>
      <c r="C15" s="35" t="n">
        <v>0.8441550925925926</v>
      </c>
      <c r="D15" s="17" t="inlineStr">
        <is>
          <t>BCA</t>
        </is>
      </c>
      <c r="E15" s="14" t="inlineStr">
        <is>
          <t>Sushi Tei Senayan City</t>
        </is>
      </c>
      <c r="F15" s="25" t="inlineStr">
        <is>
          <t>EXPENSE</t>
        </is>
      </c>
      <c r="G15" s="14" t="inlineStr">
        <is>
          <t>Dining Out &amp; Cafes</t>
        </is>
      </c>
      <c r="H15" s="16">
        <f>IFERROR(INDEX(Categories!$C$3:$C$22,MATCH(G15,Categories!$B$3:$B$22,0)),"Uncategorized")</f>
        <v/>
      </c>
      <c r="I15" s="19" t="n">
        <v>420000</v>
      </c>
      <c r="J15" s="14" t="inlineStr">
        <is>
          <t>Makan malam weekend keluarga Senayan</t>
        </is>
      </c>
      <c r="K15" s="18" t="inlineStr">
        <is>
          <t>DEBIT</t>
        </is>
      </c>
      <c r="L15" s="18" t="inlineStr">
        <is>
          <t>RAW-20260911-013</t>
        </is>
      </c>
      <c r="M15" s="32" t="inlineStr">
        <is>
          <t>VERIFIED</t>
        </is>
      </c>
    </row>
    <row r="16" ht="20" customHeight="1">
      <c r="A16" s="16" t="inlineStr">
        <is>
          <t>TX-202609-014</t>
        </is>
      </c>
      <c r="B16" s="34" t="n">
        <v>46277</v>
      </c>
      <c r="C16" s="35" t="n">
        <v>0.4241319444444445</v>
      </c>
      <c r="D16" s="17" t="inlineStr">
        <is>
          <t>Mandiri</t>
        </is>
      </c>
      <c r="E16" s="14" t="inlineStr">
        <is>
          <t>Shell TB Simatupang</t>
        </is>
      </c>
      <c r="F16" s="25" t="inlineStr">
        <is>
          <t>EXPENSE</t>
        </is>
      </c>
      <c r="G16" s="14" t="inlineStr">
        <is>
          <t>Transportation &amp; Commute</t>
        </is>
      </c>
      <c r="H16" s="16">
        <f>IFERROR(INDEX(Categories!$C$3:$C$22,MATCH(G16,Categories!$B$3:$B$22,0)),"Uncategorized")</f>
        <v/>
      </c>
      <c r="I16" s="19" t="n">
        <v>350000</v>
      </c>
      <c r="J16" s="14" t="inlineStr">
        <is>
          <t>Isi bensin full tank Shell V-Power</t>
        </is>
      </c>
      <c r="K16" s="18" t="inlineStr">
        <is>
          <t>QRIS</t>
        </is>
      </c>
      <c r="L16" s="18" t="inlineStr">
        <is>
          <t>RAW-20260912-014</t>
        </is>
      </c>
      <c r="M16" s="32" t="inlineStr">
        <is>
          <t>VERIFIED</t>
        </is>
      </c>
    </row>
    <row r="17" ht="20" customHeight="1">
      <c r="A17" s="16" t="inlineStr">
        <is>
          <t>TX-202609-015</t>
        </is>
      </c>
      <c r="B17" s="34" t="n">
        <v>46278</v>
      </c>
      <c r="C17" s="35" t="n">
        <v>0.6181828703703703</v>
      </c>
      <c r="D17" s="17" t="inlineStr">
        <is>
          <t>SeaBank</t>
        </is>
      </c>
      <c r="E17" s="14" t="inlineStr">
        <is>
          <t>Tokopedia Marketplace</t>
        </is>
      </c>
      <c r="F17" s="25" t="inlineStr">
        <is>
          <t>EXPENSE</t>
        </is>
      </c>
      <c r="G17" s="14" t="inlineStr">
        <is>
          <t>Shopping &amp; Retail</t>
        </is>
      </c>
      <c r="H17" s="16">
        <f>IFERROR(INDEX(Categories!$C$3:$C$22,MATCH(G17,Categories!$B$3:$B$22,0)),"Uncategorized")</f>
        <v/>
      </c>
      <c r="I17" s="19" t="n">
        <v>280000</v>
      </c>
      <c r="J17" s="14" t="inlineStr">
        <is>
          <t>Buku teknikal data engineering &amp; kabel</t>
        </is>
      </c>
      <c r="K17" s="18" t="inlineStr">
        <is>
          <t>TRANSFER</t>
        </is>
      </c>
      <c r="L17" s="18" t="inlineStr">
        <is>
          <t>RAW-20260913-015</t>
        </is>
      </c>
      <c r="M17" s="32" t="inlineStr">
        <is>
          <t>VERIFIED</t>
        </is>
      </c>
    </row>
    <row r="18" ht="20" customHeight="1">
      <c r="A18" s="16" t="inlineStr">
        <is>
          <t>TX-202609-016</t>
        </is>
      </c>
      <c r="B18" s="34" t="n">
        <v>46279</v>
      </c>
      <c r="C18" s="35" t="n">
        <v>0.6878356481481481</v>
      </c>
      <c r="D18" s="17" t="inlineStr">
        <is>
          <t>OVO</t>
        </is>
      </c>
      <c r="E18" s="14" t="inlineStr">
        <is>
          <t>Fore Coffee Menara Mandiri</t>
        </is>
      </c>
      <c r="F18" s="25" t="inlineStr">
        <is>
          <t>EXPENSE</t>
        </is>
      </c>
      <c r="G18" s="14" t="inlineStr">
        <is>
          <t>Dining Out &amp; Cafes</t>
        </is>
      </c>
      <c r="H18" s="16">
        <f>IFERROR(INDEX(Categories!$C$3:$C$22,MATCH(G18,Categories!$B$3:$B$22,0)),"Uncategorized")</f>
        <v/>
      </c>
      <c r="I18" s="19" t="n">
        <v>35000</v>
      </c>
      <c r="J18" s="14" t="inlineStr">
        <is>
          <t>1x Aren Latte iced cup QRIS OVO</t>
        </is>
      </c>
      <c r="K18" s="18" t="inlineStr">
        <is>
          <t>QRIS</t>
        </is>
      </c>
      <c r="L18" s="18" t="inlineStr">
        <is>
          <t>RAW-20260914-016</t>
        </is>
      </c>
      <c r="M18" s="32" t="inlineStr">
        <is>
          <t>VERIFIED</t>
        </is>
      </c>
    </row>
    <row r="19" ht="20" customHeight="1">
      <c r="A19" s="16" t="inlineStr">
        <is>
          <t>TX-202609-017</t>
        </is>
      </c>
      <c r="B19" s="34" t="n">
        <v>46280</v>
      </c>
      <c r="C19" s="35" t="n">
        <v>0.3958333333333333</v>
      </c>
      <c r="D19" s="17" t="inlineStr">
        <is>
          <t>BCA</t>
        </is>
      </c>
      <c r="E19" s="14" t="inlineStr">
        <is>
          <t>Stockbit BCA Sekuritas</t>
        </is>
      </c>
      <c r="F19" s="25" t="inlineStr">
        <is>
          <t>EXPENSE</t>
        </is>
      </c>
      <c r="G19" s="14" t="inlineStr">
        <is>
          <t>Mutual Funds &amp; Stocks</t>
        </is>
      </c>
      <c r="H19" s="16">
        <f>IFERROR(INDEX(Categories!$C$3:$C$22,MATCH(G19,Categories!$B$3:$B$22,0)),"Uncategorized")</f>
        <v/>
      </c>
      <c r="I19" s="19" t="n">
        <v>2500000</v>
      </c>
      <c r="J19" s="14" t="inlineStr">
        <is>
          <t>Top up RDN &amp; buy saham bluechip BBCA</t>
        </is>
      </c>
      <c r="K19" s="18" t="inlineStr">
        <is>
          <t>TRANSFER</t>
        </is>
      </c>
      <c r="L19" s="18" t="inlineStr">
        <is>
          <t>RAW-20260915-017</t>
        </is>
      </c>
      <c r="M19" s="32" t="inlineStr">
        <is>
          <t>VERIFIED</t>
        </is>
      </c>
    </row>
    <row r="20" ht="20" customHeight="1">
      <c r="A20" s="16" t="inlineStr">
        <is>
          <t>TX-202609-018</t>
        </is>
      </c>
      <c r="B20" s="34" t="n">
        <v>46281</v>
      </c>
      <c r="C20" s="35" t="n">
        <v>0.7502314814814814</v>
      </c>
      <c r="D20" s="17" t="inlineStr">
        <is>
          <t>Bank Jago</t>
        </is>
      </c>
      <c r="E20" s="14" t="inlineStr">
        <is>
          <t>PT Kreasi Digital</t>
        </is>
      </c>
      <c r="F20" s="32" t="inlineStr">
        <is>
          <t>INCOME</t>
        </is>
      </c>
      <c r="G20" s="14" t="inlineStr">
        <is>
          <t>Freelance &amp; Consulting</t>
        </is>
      </c>
      <c r="H20" s="16">
        <f>IFERROR(INDEX(Categories!$C$3:$C$22,MATCH(G20,Categories!$B$3:$B$22,0)),"Uncategorized")</f>
        <v/>
      </c>
      <c r="I20" s="19" t="n">
        <v>4500000</v>
      </c>
      <c r="J20" s="14" t="inlineStr">
        <is>
          <t>Pelunasan invoice UI/UX data audit project</t>
        </is>
      </c>
      <c r="K20" s="18" t="inlineStr">
        <is>
          <t>BI_FAST</t>
        </is>
      </c>
      <c r="L20" s="18" t="inlineStr">
        <is>
          <t>RAW-20260916-018</t>
        </is>
      </c>
      <c r="M20" s="32" t="inlineStr">
        <is>
          <t>VERIFIED</t>
        </is>
      </c>
    </row>
    <row r="21" ht="20" customHeight="1">
      <c r="A21" s="16" t="inlineStr">
        <is>
          <t>TX-202609-019</t>
        </is>
      </c>
      <c r="B21" s="34" t="n">
        <v>46282</v>
      </c>
      <c r="C21" s="35" t="n">
        <v>0.8751736111111111</v>
      </c>
      <c r="D21" s="17" t="inlineStr">
        <is>
          <t>SeaBank</t>
        </is>
      </c>
      <c r="E21" s="14" t="inlineStr">
        <is>
          <t>SeaBank Deposito Ekstra</t>
        </is>
      </c>
      <c r="F21" s="25" t="inlineStr">
        <is>
          <t>EXPENSE</t>
        </is>
      </c>
      <c r="G21" s="14" t="inlineStr">
        <is>
          <t>Emergency Fund Reserve</t>
        </is>
      </c>
      <c r="H21" s="16">
        <f>IFERROR(INDEX(Categories!$C$3:$C$22,MATCH(G21,Categories!$B$3:$B$22,0)),"Uncategorized")</f>
        <v/>
      </c>
      <c r="I21" s="19" t="n">
        <v>1500000</v>
      </c>
      <c r="J21" s="14" t="inlineStr">
        <is>
          <t>Alokasi dana darurat bunga tinggi harian</t>
        </is>
      </c>
      <c r="K21" s="18" t="inlineStr">
        <is>
          <t>TRANSFER</t>
        </is>
      </c>
      <c r="L21" s="18" t="inlineStr">
        <is>
          <t>RAW-20260917-019</t>
        </is>
      </c>
      <c r="M21" s="32" t="inlineStr">
        <is>
          <t>VERIFIED</t>
        </is>
      </c>
    </row>
    <row r="22" ht="20" customHeight="1">
      <c r="A22" s="16" t="inlineStr">
        <is>
          <t>TX-202609-020</t>
        </is>
      </c>
      <c r="B22" s="34" t="n">
        <v>46283</v>
      </c>
      <c r="C22" s="35" t="n">
        <v>0.4895833333333333</v>
      </c>
      <c r="D22" s="17" t="inlineStr">
        <is>
          <t>GoPay</t>
        </is>
      </c>
      <c r="E22" s="14" t="inlineStr">
        <is>
          <t>Masjid Nurul Iman SCBD</t>
        </is>
      </c>
      <c r="F22" s="25" t="inlineStr">
        <is>
          <t>EXPENSE</t>
        </is>
      </c>
      <c r="G22" s="14" t="inlineStr">
        <is>
          <t>Family Support &amp; Charity</t>
        </is>
      </c>
      <c r="H22" s="16">
        <f>IFERROR(INDEX(Categories!$C$3:$C$22,MATCH(G22,Categories!$B$3:$B$22,0)),"Uncategorized")</f>
        <v/>
      </c>
      <c r="I22" s="19" t="n">
        <v>100000</v>
      </c>
      <c r="J22" s="14" t="inlineStr">
        <is>
          <t>Sedekah subuh &amp; infaq sholat Jumat QRIS</t>
        </is>
      </c>
      <c r="K22" s="18" t="inlineStr">
        <is>
          <t>QRIS</t>
        </is>
      </c>
      <c r="L22" s="18" t="inlineStr">
        <is>
          <t>RAW-20260918-020</t>
        </is>
      </c>
      <c r="M22" s="32" t="inlineStr">
        <is>
          <t>VERIFIED</t>
        </is>
      </c>
    </row>
  </sheetData>
  <mergeCells count="1">
    <mergeCell ref="A1:M1"/>
  </mergeCells>
  <dataValidations count="5">
    <dataValidation sqref="D3:D100" showDropDown="0" showInputMessage="0" showErrorMessage="0" allowBlank="1" type="list">
      <formula1>"BCA,Mandiri,BRI,BNI,Bank Jago,SeaBank,GoPay,OVO,DANA,ShopeePay,Cash"</formula1>
    </dataValidation>
    <dataValidation sqref="F3:F100" showDropDown="0" showInputMessage="0" showErrorMessage="0" allowBlank="1" type="list">
      <formula1>"INCOME,EXPENSE,TRANSFER"</formula1>
    </dataValidation>
    <dataValidation sqref="G3:G100" showDropDown="0" showInputMessage="0" showErrorMessage="0" allowBlank="1" type="list">
      <formula1>Categories!$B$3:$B$22</formula1>
    </dataValidation>
    <dataValidation sqref="K3:K100" showDropDown="0" showInputMessage="0" showErrorMessage="0" allowBlank="1" type="list">
      <formula1>"QRIS,BI_FAST,DEBIT,TRANSFER,AUTODEBET,E_WALLET,CASH"</formula1>
    </dataValidation>
    <dataValidation sqref="M3:M100" showDropDown="0" showInputMessage="0" showErrorMessage="0" allowBlank="1" type="list">
      <formula1>"VERIFIED,PENDING_REVIEW,RECONCILED"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6"/>
  <sheetViews>
    <sheetView showGridLines="1" workbookViewId="0">
      <selection activeCell="A1" sqref="A1"/>
    </sheetView>
  </sheetViews>
  <sheetFormatPr baseColWidth="8" defaultRowHeight="15"/>
  <cols>
    <col width="15" customWidth="1" min="1" max="1"/>
    <col width="20" customWidth="1" min="2" max="2"/>
    <col width="18" customWidth="1" min="3" max="3"/>
    <col width="20" customWidth="1" min="4" max="4"/>
    <col width="18" customWidth="1" min="5" max="5"/>
    <col width="18" customWidth="1" min="6" max="6"/>
    <col width="20" customWidth="1" min="7" max="7"/>
    <col width="18" customWidth="1" min="8" max="8"/>
    <col width="18" customWidth="1" min="9" max="9"/>
    <col width="20" customWidth="1" min="10" max="10"/>
    <col width="22" customWidth="1" min="11" max="11"/>
    <col width="20" customWidth="1" min="12" max="12"/>
    <col width="18" customWidth="1" min="13" max="13"/>
    <col width="28" customWidth="1" min="14" max="14"/>
  </cols>
  <sheetData>
    <row r="1" ht="30" customHeight="1">
      <c r="A1" s="30" t="inlineStr">
        <is>
          <t>MONTHLY_SUMMARY — GOLD ANALYTICAL MART &amp; 50/30/20 VARIANCE ENGINE</t>
        </is>
      </c>
    </row>
    <row r="2" ht="24" customHeight="1">
      <c r="A2" s="31" t="inlineStr">
        <is>
          <t>month_period</t>
        </is>
      </c>
      <c r="B2" s="31" t="inlineStr">
        <is>
          <t>total_income</t>
        </is>
      </c>
      <c r="C2" s="31" t="inlineStr">
        <is>
          <t>needs_actual</t>
        </is>
      </c>
      <c r="D2" s="31" t="inlineStr">
        <is>
          <t>needs_target_50pct</t>
        </is>
      </c>
      <c r="E2" s="31" t="inlineStr">
        <is>
          <t>needs_variance</t>
        </is>
      </c>
      <c r="F2" s="31" t="inlineStr">
        <is>
          <t>wants_actual</t>
        </is>
      </c>
      <c r="G2" s="31" t="inlineStr">
        <is>
          <t>wants_target_30pct</t>
        </is>
      </c>
      <c r="H2" s="31" t="inlineStr">
        <is>
          <t>wants_variance</t>
        </is>
      </c>
      <c r="I2" s="31" t="inlineStr">
        <is>
          <t>savings_actual</t>
        </is>
      </c>
      <c r="J2" s="31" t="inlineStr">
        <is>
          <t>savings_target_20pct</t>
        </is>
      </c>
      <c r="K2" s="31" t="inlineStr">
        <is>
          <t>total_living_expenses</t>
        </is>
      </c>
      <c r="L2" s="31" t="inlineStr">
        <is>
          <t>net_cash_surplus</t>
        </is>
      </c>
      <c r="M2" s="31" t="inlineStr">
        <is>
          <t>savings_rate_pct</t>
        </is>
      </c>
      <c r="N2" s="31" t="inlineStr">
        <is>
          <t>compliance_status</t>
        </is>
      </c>
    </row>
    <row r="3" ht="22" customHeight="1">
      <c r="A3" s="16" t="inlineStr">
        <is>
          <t>2026-09</t>
        </is>
      </c>
      <c r="B3" s="19">
        <f>SUMIFS(Ledger_Clean!$I$3:$I$100,Ledger_Clean!$F$3:$F$100,"INCOME",Ledger_Clean!$B$3:$B$100,"&gt;="&amp;DATE(2026,9,1),Ledger_Clean!$B$3:$B$100,"&lt;="&amp;DATE(2026,9,30))</f>
        <v/>
      </c>
      <c r="C3" s="15">
        <f>SUMIFS(Ledger_Clean!$I$3:$I$100,Ledger_Clean!$F$3:$F$100,"EXPENSE",Ledger_Clean!$H$3:$H$100,"Needs",Ledger_Clean!$B$3:$B$100,"&gt;="&amp;DATE(2026,9,1),Ledger_Clean!$B$3:$B$100,"&lt;="&amp;DATE(2026,9,30))</f>
        <v/>
      </c>
      <c r="D3" s="15">
        <f>B3*0.5</f>
        <v/>
      </c>
      <c r="E3" s="15">
        <f>D3-C3</f>
        <v/>
      </c>
      <c r="F3" s="15">
        <f>SUMIFS(Ledger_Clean!$I$3:$I$100,Ledger_Clean!$F$3:$F$100,"EXPENSE",Ledger_Clean!$H$3:$H$100,"Wants",Ledger_Clean!$B$3:$B$100,"&gt;="&amp;DATE(2026,9,1),Ledger_Clean!$B$3:$B$100,"&lt;="&amp;DATE(2026,9,30))</f>
        <v/>
      </c>
      <c r="G3" s="15">
        <f>B3*0.3</f>
        <v/>
      </c>
      <c r="H3" s="15">
        <f>G3-F3</f>
        <v/>
      </c>
      <c r="I3" s="15">
        <f>SUMIFS(Ledger_Clean!$I$3:$I$100,Ledger_Clean!$F$3:$F$100,"EXPENSE",Ledger_Clean!$H$3:$H$100,"Savings",Ledger_Clean!$B$3:$B$100,"&gt;="&amp;DATE(2026,9,1),Ledger_Clean!$B$3:$B$100,"&lt;="&amp;DATE(2026,9,30))</f>
        <v/>
      </c>
      <c r="J3" s="15">
        <f>B3*0.2</f>
        <v/>
      </c>
      <c r="K3" s="19">
        <f>C3+F3</f>
        <v/>
      </c>
      <c r="L3" s="19">
        <f>B3-K3-I3</f>
        <v/>
      </c>
      <c r="M3" s="36">
        <f>IF(B3&gt;0,(I3+L3)/B3,0)</f>
        <v/>
      </c>
      <c r="N3" s="16">
        <f>IF(B3=0,"PENDING DATA",IF(AND(C3&lt;=D3,F3&lt;=G3,(I3+L3)&gt;=J3),"✅ BALANCED (50/30/20)",IF((I3+L3)&lt;J3,"⚠️ LOW SAVINGS (&lt;20%)","⚠️ OVER BUDGET")))</f>
        <v/>
      </c>
    </row>
    <row r="4" ht="22" customHeight="1">
      <c r="A4" s="16" t="inlineStr">
        <is>
          <t>2026-10</t>
        </is>
      </c>
      <c r="B4" s="19">
        <f>SUMIFS(Ledger_Clean!$I$3:$I$100,Ledger_Clean!$F$3:$F$100,"INCOME",Ledger_Clean!$B$3:$B$100,"&gt;="&amp;DATE(2026,10,1),Ledger_Clean!$B$3:$B$100,"&lt;="&amp;DATE(2026,10,31))</f>
        <v/>
      </c>
      <c r="C4" s="15">
        <f>SUMIFS(Ledger_Clean!$I$3:$I$100,Ledger_Clean!$F$3:$F$100,"EXPENSE",Ledger_Clean!$H$3:$H$100,"Needs",Ledger_Clean!$B$3:$B$100,"&gt;="&amp;DATE(2026,10,1),Ledger_Clean!$B$3:$B$100,"&lt;="&amp;DATE(2026,10,31))</f>
        <v/>
      </c>
      <c r="D4" s="15">
        <f>B4*0.5</f>
        <v/>
      </c>
      <c r="E4" s="15">
        <f>D4-C4</f>
        <v/>
      </c>
      <c r="F4" s="15">
        <f>SUMIFS(Ledger_Clean!$I$3:$I$100,Ledger_Clean!$F$3:$F$100,"EXPENSE",Ledger_Clean!$H$3:$H$100,"Wants",Ledger_Clean!$B$3:$B$100,"&gt;="&amp;DATE(2026,10,1),Ledger_Clean!$B$3:$B$100,"&lt;="&amp;DATE(2026,10,31))</f>
        <v/>
      </c>
      <c r="G4" s="15">
        <f>B4*0.3</f>
        <v/>
      </c>
      <c r="H4" s="15">
        <f>G4-F4</f>
        <v/>
      </c>
      <c r="I4" s="15">
        <f>SUMIFS(Ledger_Clean!$I$3:$I$100,Ledger_Clean!$F$3:$F$100,"EXPENSE",Ledger_Clean!$H$3:$H$100,"Savings",Ledger_Clean!$B$3:$B$100,"&gt;="&amp;DATE(2026,10,1),Ledger_Clean!$B$3:$B$100,"&lt;="&amp;DATE(2026,10,31))</f>
        <v/>
      </c>
      <c r="J4" s="15">
        <f>B4*0.2</f>
        <v/>
      </c>
      <c r="K4" s="19">
        <f>C4+F4</f>
        <v/>
      </c>
      <c r="L4" s="19">
        <f>B4-K4-I4</f>
        <v/>
      </c>
      <c r="M4" s="36">
        <f>IF(B4&gt;0,(I4+L4)/B4,0)</f>
        <v/>
      </c>
      <c r="N4" s="16">
        <f>IF(B4=0,"PENDING DATA",IF(AND(C4&lt;=D4,F4&lt;=G4,(I4+L4)&gt;=J4),"✅ BALANCED (50/30/20)",IF((I4+L4)&lt;J4,"⚠️ LOW SAVINGS (&lt;20%)","⚠️ OVER BUDGET")))</f>
        <v/>
      </c>
    </row>
    <row r="5" ht="22" customHeight="1">
      <c r="A5" s="16" t="inlineStr">
        <is>
          <t>2026-11</t>
        </is>
      </c>
      <c r="B5" s="19">
        <f>SUMIFS(Ledger_Clean!$I$3:$I$100,Ledger_Clean!$F$3:$F$100,"INCOME",Ledger_Clean!$B$3:$B$100,"&gt;="&amp;DATE(2026,11,1),Ledger_Clean!$B$3:$B$100,"&lt;="&amp;DATE(2026,11,30))</f>
        <v/>
      </c>
      <c r="C5" s="15">
        <f>SUMIFS(Ledger_Clean!$I$3:$I$100,Ledger_Clean!$F$3:$F$100,"EXPENSE",Ledger_Clean!$H$3:$H$100,"Needs",Ledger_Clean!$B$3:$B$100,"&gt;="&amp;DATE(2026,11,1),Ledger_Clean!$B$3:$B$100,"&lt;="&amp;DATE(2026,11,30))</f>
        <v/>
      </c>
      <c r="D5" s="15">
        <f>B5*0.5</f>
        <v/>
      </c>
      <c r="E5" s="15">
        <f>D5-C5</f>
        <v/>
      </c>
      <c r="F5" s="15">
        <f>SUMIFS(Ledger_Clean!$I$3:$I$100,Ledger_Clean!$F$3:$F$100,"EXPENSE",Ledger_Clean!$H$3:$H$100,"Wants",Ledger_Clean!$B$3:$B$100,"&gt;="&amp;DATE(2026,11,1),Ledger_Clean!$B$3:$B$100,"&lt;="&amp;DATE(2026,11,30))</f>
        <v/>
      </c>
      <c r="G5" s="15">
        <f>B5*0.3</f>
        <v/>
      </c>
      <c r="H5" s="15">
        <f>G5-F5</f>
        <v/>
      </c>
      <c r="I5" s="15">
        <f>SUMIFS(Ledger_Clean!$I$3:$I$100,Ledger_Clean!$F$3:$F$100,"EXPENSE",Ledger_Clean!$H$3:$H$100,"Savings",Ledger_Clean!$B$3:$B$100,"&gt;="&amp;DATE(2026,11,1),Ledger_Clean!$B$3:$B$100,"&lt;="&amp;DATE(2026,11,30))</f>
        <v/>
      </c>
      <c r="J5" s="15">
        <f>B5*0.2</f>
        <v/>
      </c>
      <c r="K5" s="19">
        <f>C5+F5</f>
        <v/>
      </c>
      <c r="L5" s="19">
        <f>B5-K5-I5</f>
        <v/>
      </c>
      <c r="M5" s="36">
        <f>IF(B5&gt;0,(I5+L5)/B5,0)</f>
        <v/>
      </c>
      <c r="N5" s="16">
        <f>IF(B5=0,"PENDING DATA",IF(AND(C5&lt;=D5,F5&lt;=G5,(I5+L5)&gt;=J5),"✅ BALANCED (50/30/20)",IF((I5+L5)&lt;J5,"⚠️ LOW SAVINGS (&lt;20%)","⚠️ OVER BUDGET")))</f>
        <v/>
      </c>
    </row>
    <row r="6" ht="22" customHeight="1">
      <c r="A6" s="16" t="inlineStr">
        <is>
          <t>2026-12</t>
        </is>
      </c>
      <c r="B6" s="19">
        <f>SUMIFS(Ledger_Clean!$I$3:$I$100,Ledger_Clean!$F$3:$F$100,"INCOME",Ledger_Clean!$B$3:$B$100,"&gt;="&amp;DATE(2026,12,1),Ledger_Clean!$B$3:$B$100,"&lt;="&amp;DATE(2026,12,31))</f>
        <v/>
      </c>
      <c r="C6" s="15">
        <f>SUMIFS(Ledger_Clean!$I$3:$I$100,Ledger_Clean!$F$3:$F$100,"EXPENSE",Ledger_Clean!$H$3:$H$100,"Needs",Ledger_Clean!$B$3:$B$100,"&gt;="&amp;DATE(2026,12,1),Ledger_Clean!$B$3:$B$100,"&lt;="&amp;DATE(2026,12,31))</f>
        <v/>
      </c>
      <c r="D6" s="15">
        <f>B6*0.5</f>
        <v/>
      </c>
      <c r="E6" s="15">
        <f>D6-C6</f>
        <v/>
      </c>
      <c r="F6" s="15">
        <f>SUMIFS(Ledger_Clean!$I$3:$I$100,Ledger_Clean!$F$3:$F$100,"EXPENSE",Ledger_Clean!$H$3:$H$100,"Wants",Ledger_Clean!$B$3:$B$100,"&gt;="&amp;DATE(2026,12,1),Ledger_Clean!$B$3:$B$100,"&lt;="&amp;DATE(2026,12,31))</f>
        <v/>
      </c>
      <c r="G6" s="15">
        <f>B6*0.3</f>
        <v/>
      </c>
      <c r="H6" s="15">
        <f>G6-F6</f>
        <v/>
      </c>
      <c r="I6" s="15">
        <f>SUMIFS(Ledger_Clean!$I$3:$I$100,Ledger_Clean!$F$3:$F$100,"EXPENSE",Ledger_Clean!$H$3:$H$100,"Savings",Ledger_Clean!$B$3:$B$100,"&gt;="&amp;DATE(2026,12,1),Ledger_Clean!$B$3:$B$100,"&lt;="&amp;DATE(2026,12,31))</f>
        <v/>
      </c>
      <c r="J6" s="15">
        <f>B6*0.2</f>
        <v/>
      </c>
      <c r="K6" s="19">
        <f>C6+F6</f>
        <v/>
      </c>
      <c r="L6" s="19">
        <f>B6-K6-I6</f>
        <v/>
      </c>
      <c r="M6" s="36">
        <f>IF(B6&gt;0,(I6+L6)/B6,0)</f>
        <v/>
      </c>
      <c r="N6" s="16">
        <f>IF(B6=0,"PENDING DATA",IF(AND(C6&lt;=D6,F6&lt;=G6,(I6+L6)&gt;=J6),"✅ BALANCED (50/30/20)",IF((I6+L6)&lt;J6,"⚠️ LOW SAVINGS (&lt;20%)","⚠️ OVER BUDGET")))</f>
        <v/>
      </c>
    </row>
  </sheetData>
  <mergeCells count="1">
    <mergeCell ref="A1:N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2026-09-19T01:50:33Z</dcterms:created>
  <dcterms:modified xsi:type="dcterms:W3CDTF">2026-09-19T01:50:33Z</dcterms:modified>
</cp:coreProperties>
</file>